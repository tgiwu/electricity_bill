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/>
  <mc:AlternateContent xmlns:mc="http://schemas.openxmlformats.org/markup-compatibility/2006">
    <mc:Choice Requires="x15">
      <x15ac:absPath xmlns:x15ac="http://schemas.microsoft.com/office/spreadsheetml/2010/11/ac" url="/Users/yangzhang/vsCodeProject/electricity_bill/input/"/>
    </mc:Choice>
  </mc:AlternateContent>
  <xr:revisionPtr revIDLastSave="0" documentId="13_ncr:1_{3B194829-1CF3-9F49-A598-6FD8320A90D5}" xr6:coauthVersionLast="47" xr6:coauthVersionMax="47" xr10:uidLastSave="{00000000-0000-0000-0000-000000000000}"/>
  <bookViews>
    <workbookView xWindow="0" yWindow="2560" windowWidth="28800" windowHeight="15440" xr2:uid="{00000000-000D-0000-FFFF-FFFF00000000}"/>
  </bookViews>
  <sheets>
    <sheet name="公司信息" sheetId="6" r:id="rId1"/>
    <sheet name="电量统计" sheetId="2" r:id="rId2"/>
    <sheet name="综合信息" sheetId="9" r:id="rId3"/>
    <sheet name="Sheet1" sheetId="1" r:id="rId4"/>
    <sheet name="空调" sheetId="4" r:id="rId5"/>
  </sheets>
  <definedNames>
    <definedName name="ExternalData_1" localSheetId="2" hidden="1">综合信息!$A$1:$P$28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94" i="2" l="1"/>
  <c r="AM94" i="2" s="1"/>
  <c r="AP94" i="2"/>
  <c r="AQ94" i="2" s="1"/>
  <c r="AT94" i="2"/>
  <c r="AU94" i="2" s="1"/>
  <c r="AX94" i="2"/>
  <c r="AY94" i="2"/>
  <c r="AL99" i="2"/>
  <c r="AM99" i="2" s="1"/>
  <c r="AP99" i="2"/>
  <c r="AQ99" i="2" s="1"/>
  <c r="AT99" i="2"/>
  <c r="AU99" i="2" s="1"/>
  <c r="AX99" i="2"/>
  <c r="AY99" i="2"/>
  <c r="AL97" i="2"/>
  <c r="AM97" i="2" s="1"/>
  <c r="AP97" i="2"/>
  <c r="AQ97" i="2" s="1"/>
  <c r="AT97" i="2"/>
  <c r="AU97" i="2" s="1"/>
  <c r="AX97" i="2"/>
  <c r="AY97" i="2"/>
  <c r="AL98" i="2"/>
  <c r="AM98" i="2" s="1"/>
  <c r="AP98" i="2"/>
  <c r="AQ98" i="2" s="1"/>
  <c r="AT98" i="2"/>
  <c r="AU98" i="2" s="1"/>
  <c r="AX98" i="2"/>
  <c r="AY98" i="2"/>
  <c r="AL91" i="2"/>
  <c r="AM91" i="2" s="1"/>
  <c r="AP91" i="2"/>
  <c r="AQ91" i="2" s="1"/>
  <c r="AT91" i="2"/>
  <c r="AU91" i="2" s="1"/>
  <c r="AX91" i="2"/>
  <c r="AY91" i="2"/>
  <c r="AL90" i="2"/>
  <c r="AM90" i="2" s="1"/>
  <c r="AP90" i="2"/>
  <c r="AQ90" i="2" s="1"/>
  <c r="AT90" i="2"/>
  <c r="AU90" i="2"/>
  <c r="AX90" i="2"/>
  <c r="AY90" i="2"/>
  <c r="AL89" i="2"/>
  <c r="AM89" i="2" s="1"/>
  <c r="AP89" i="2"/>
  <c r="AQ89" i="2" s="1"/>
  <c r="AT89" i="2"/>
  <c r="AU89" i="2" s="1"/>
  <c r="AX89" i="2"/>
  <c r="AY89" i="2"/>
  <c r="AL88" i="2"/>
  <c r="AM88" i="2" s="1"/>
  <c r="AP88" i="2"/>
  <c r="AQ88" i="2" s="1"/>
  <c r="AT88" i="2"/>
  <c r="AU88" i="2" s="1"/>
  <c r="AX88" i="2"/>
  <c r="AY88" i="2"/>
  <c r="AL86" i="2"/>
  <c r="AM86" i="2" s="1"/>
  <c r="AP86" i="2"/>
  <c r="AQ86" i="2" s="1"/>
  <c r="AT86" i="2"/>
  <c r="AU86" i="2" s="1"/>
  <c r="AX86" i="2"/>
  <c r="AY86" i="2"/>
  <c r="AL122" i="2"/>
  <c r="AM122" i="2" s="1"/>
  <c r="AP122" i="2"/>
  <c r="AQ122" i="2" s="1"/>
  <c r="AT122" i="2"/>
  <c r="AU122" i="2" s="1"/>
  <c r="AX122" i="2"/>
  <c r="AY122" i="2"/>
  <c r="AL120" i="2"/>
  <c r="AM120" i="2" s="1"/>
  <c r="AP120" i="2"/>
  <c r="AQ120" i="2" s="1"/>
  <c r="AT120" i="2"/>
  <c r="AU120" i="2" s="1"/>
  <c r="AX120" i="2"/>
  <c r="AY120" i="2"/>
  <c r="AL121" i="2"/>
  <c r="AM121" i="2" s="1"/>
  <c r="AP121" i="2"/>
  <c r="AQ121" i="2" s="1"/>
  <c r="AT121" i="2"/>
  <c r="AU121" i="2" s="1"/>
  <c r="AX121" i="2"/>
  <c r="AY121" i="2"/>
  <c r="AL85" i="2"/>
  <c r="AM85" i="2" s="1"/>
  <c r="AP85" i="2"/>
  <c r="AQ85" i="2" s="1"/>
  <c r="AT85" i="2"/>
  <c r="AU85" i="2" s="1"/>
  <c r="AX85" i="2"/>
  <c r="AY85" i="2"/>
  <c r="AL84" i="2"/>
  <c r="AM84" i="2" s="1"/>
  <c r="AP84" i="2"/>
  <c r="AQ84" i="2" s="1"/>
  <c r="AT84" i="2"/>
  <c r="AU84" i="2" s="1"/>
  <c r="AX84" i="2"/>
  <c r="AY84" i="2"/>
  <c r="AL83" i="2"/>
  <c r="AM83" i="2" s="1"/>
  <c r="AP83" i="2"/>
  <c r="AQ83" i="2" s="1"/>
  <c r="AT83" i="2"/>
  <c r="AU83" i="2" s="1"/>
  <c r="AX83" i="2"/>
  <c r="AY83" i="2"/>
  <c r="AL81" i="2"/>
  <c r="AM81" i="2" s="1"/>
  <c r="AP81" i="2"/>
  <c r="AQ81" i="2" s="1"/>
  <c r="AT81" i="2"/>
  <c r="AU81" i="2" s="1"/>
  <c r="AX81" i="2"/>
  <c r="AY81" i="2"/>
  <c r="AL78" i="2"/>
  <c r="AM78" i="2" s="1"/>
  <c r="AP78" i="2"/>
  <c r="AQ78" i="2" s="1"/>
  <c r="AT78" i="2"/>
  <c r="AU78" i="2" s="1"/>
  <c r="AX78" i="2"/>
  <c r="AY78" i="2"/>
  <c r="AL77" i="2"/>
  <c r="AM77" i="2" s="1"/>
  <c r="AP77" i="2"/>
  <c r="AQ77" i="2" s="1"/>
  <c r="AT77" i="2"/>
  <c r="AU77" i="2" s="1"/>
  <c r="AX77" i="2"/>
  <c r="AY77" i="2"/>
  <c r="AL76" i="2"/>
  <c r="AM76" i="2" s="1"/>
  <c r="AP76" i="2"/>
  <c r="AQ76" i="2" s="1"/>
  <c r="AT76" i="2"/>
  <c r="AU76" i="2" s="1"/>
  <c r="AX76" i="2"/>
  <c r="AY76" i="2"/>
  <c r="AL61" i="2"/>
  <c r="AM61" i="2" s="1"/>
  <c r="AP61" i="2"/>
  <c r="AQ61" i="2" s="1"/>
  <c r="AT61" i="2"/>
  <c r="AU61" i="2" s="1"/>
  <c r="AX61" i="2"/>
  <c r="AY61" i="2"/>
  <c r="AL60" i="2"/>
  <c r="AM60" i="2" s="1"/>
  <c r="AP60" i="2"/>
  <c r="AQ60" i="2" s="1"/>
  <c r="AT60" i="2"/>
  <c r="AU60" i="2" s="1"/>
  <c r="AX60" i="2"/>
  <c r="AY60" i="2"/>
  <c r="AL59" i="2"/>
  <c r="AM59" i="2" s="1"/>
  <c r="AP59" i="2"/>
  <c r="AQ59" i="2" s="1"/>
  <c r="AT59" i="2"/>
  <c r="AU59" i="2" s="1"/>
  <c r="AX59" i="2"/>
  <c r="AY59" i="2"/>
  <c r="AL52" i="2"/>
  <c r="AM52" i="2" s="1"/>
  <c r="AP52" i="2"/>
  <c r="AQ52" i="2" s="1"/>
  <c r="AT52" i="2"/>
  <c r="AU52" i="2" s="1"/>
  <c r="AX52" i="2"/>
  <c r="AY52" i="2"/>
  <c r="AL50" i="2"/>
  <c r="AM50" i="2" s="1"/>
  <c r="AP50" i="2"/>
  <c r="AQ50" i="2" s="1"/>
  <c r="AT50" i="2"/>
  <c r="AU50" i="2" s="1"/>
  <c r="AX50" i="2"/>
  <c r="AY50" i="2"/>
  <c r="AL70" i="2"/>
  <c r="AM70" i="2" s="1"/>
  <c r="AP70" i="2"/>
  <c r="AQ70" i="2" s="1"/>
  <c r="AT70" i="2"/>
  <c r="AU70" i="2" s="1"/>
  <c r="AX70" i="2"/>
  <c r="AY70" i="2"/>
  <c r="AL66" i="2"/>
  <c r="AM66" i="2" s="1"/>
  <c r="AP66" i="2"/>
  <c r="AQ66" i="2" s="1"/>
  <c r="AT66" i="2"/>
  <c r="AU66" i="2" s="1"/>
  <c r="AX66" i="2"/>
  <c r="AY66" i="2"/>
  <c r="AL131" i="2"/>
  <c r="AM131" i="2" s="1"/>
  <c r="AP131" i="2"/>
  <c r="AQ131" i="2" s="1"/>
  <c r="AT131" i="2"/>
  <c r="AU131" i="2" s="1"/>
  <c r="AX131" i="2"/>
  <c r="AY131" i="2"/>
  <c r="AL126" i="2"/>
  <c r="AM126" i="2" s="1"/>
  <c r="AP126" i="2"/>
  <c r="AQ126" i="2" s="1"/>
  <c r="AT126" i="2"/>
  <c r="AU126" i="2" s="1"/>
  <c r="AX126" i="2"/>
  <c r="AY126" i="2"/>
  <c r="AL118" i="2"/>
  <c r="AM118" i="2" s="1"/>
  <c r="AP118" i="2"/>
  <c r="AQ118" i="2" s="1"/>
  <c r="AT118" i="2"/>
  <c r="AU118" i="2" s="1"/>
  <c r="AX118" i="2"/>
  <c r="AY118" i="2"/>
  <c r="AL113" i="2"/>
  <c r="AM113" i="2" s="1"/>
  <c r="AP113" i="2"/>
  <c r="AQ113" i="2" s="1"/>
  <c r="AT113" i="2"/>
  <c r="AU113" i="2" s="1"/>
  <c r="AX113" i="2"/>
  <c r="AY113" i="2"/>
  <c r="AL108" i="2"/>
  <c r="AM108" i="2" s="1"/>
  <c r="AP108" i="2"/>
  <c r="AQ108" i="2" s="1"/>
  <c r="AT108" i="2"/>
  <c r="AU108" i="2" s="1"/>
  <c r="AX108" i="2"/>
  <c r="AY108" i="2"/>
  <c r="AL103" i="2"/>
  <c r="AM103" i="2" s="1"/>
  <c r="AP103" i="2"/>
  <c r="AQ103" i="2" s="1"/>
  <c r="AT103" i="2"/>
  <c r="AU103" i="2" s="1"/>
  <c r="AX103" i="2"/>
  <c r="AY103" i="2"/>
  <c r="AL95" i="2"/>
  <c r="AM95" i="2" s="1"/>
  <c r="AP95" i="2"/>
  <c r="AQ95" i="2" s="1"/>
  <c r="AT95" i="2"/>
  <c r="AU95" i="2" s="1"/>
  <c r="AX95" i="2"/>
  <c r="AY95" i="2"/>
  <c r="AL87" i="2"/>
  <c r="AM87" i="2" s="1"/>
  <c r="AP87" i="2"/>
  <c r="AQ87" i="2" s="1"/>
  <c r="AT87" i="2"/>
  <c r="AU87" i="2" s="1"/>
  <c r="AX87" i="2"/>
  <c r="AY87" i="2"/>
  <c r="AL74" i="2"/>
  <c r="AM74" i="2" s="1"/>
  <c r="AP74" i="2"/>
  <c r="AQ74" i="2" s="1"/>
  <c r="AT74" i="2"/>
  <c r="AU74" i="2" s="1"/>
  <c r="AX74" i="2"/>
  <c r="AY74" i="2"/>
  <c r="AL64" i="2"/>
  <c r="AM64" i="2" s="1"/>
  <c r="AP64" i="2"/>
  <c r="AQ64" i="2" s="1"/>
  <c r="AT64" i="2"/>
  <c r="AU64" i="2" s="1"/>
  <c r="AX64" i="2"/>
  <c r="AY64" i="2"/>
  <c r="AL57" i="2"/>
  <c r="AM57" i="2" s="1"/>
  <c r="AP57" i="2"/>
  <c r="AQ57" i="2" s="1"/>
  <c r="AT57" i="2"/>
  <c r="AU57" i="2" s="1"/>
  <c r="AX57" i="2"/>
  <c r="AY57" i="2"/>
  <c r="AL51" i="2"/>
  <c r="AM51" i="2" s="1"/>
  <c r="AP51" i="2"/>
  <c r="AQ51" i="2" s="1"/>
  <c r="AT51" i="2"/>
  <c r="AU51" i="2" s="1"/>
  <c r="AX51" i="2"/>
  <c r="AY51" i="2"/>
  <c r="AL48" i="2"/>
  <c r="AM48" i="2" s="1"/>
  <c r="AP48" i="2"/>
  <c r="AQ48" i="2" s="1"/>
  <c r="AT48" i="2"/>
  <c r="AU48" i="2" s="1"/>
  <c r="AX48" i="2"/>
  <c r="AY48" i="2"/>
  <c r="AL41" i="2"/>
  <c r="AM41" i="2" s="1"/>
  <c r="AP41" i="2"/>
  <c r="AQ41" i="2" s="1"/>
  <c r="AT41" i="2"/>
  <c r="AU41" i="2" s="1"/>
  <c r="AX41" i="2"/>
  <c r="AY41" i="2"/>
  <c r="AL33" i="2"/>
  <c r="AM33" i="2" s="1"/>
  <c r="AP33" i="2"/>
  <c r="AQ33" i="2" s="1"/>
  <c r="AT33" i="2"/>
  <c r="AU33" i="2" s="1"/>
  <c r="AX33" i="2"/>
  <c r="AY33" i="2"/>
  <c r="AL28" i="2"/>
  <c r="AM28" i="2" s="1"/>
  <c r="AP28" i="2"/>
  <c r="AQ28" i="2" s="1"/>
  <c r="AT28" i="2"/>
  <c r="AU28" i="2" s="1"/>
  <c r="AX28" i="2"/>
  <c r="AY28" i="2"/>
  <c r="AL23" i="2"/>
  <c r="AM23" i="2" s="1"/>
  <c r="AP23" i="2"/>
  <c r="AQ23" i="2" s="1"/>
  <c r="AT23" i="2"/>
  <c r="AU23" i="2" s="1"/>
  <c r="AX23" i="2"/>
  <c r="AY23" i="2"/>
  <c r="AL18" i="2"/>
  <c r="AM18" i="2" s="1"/>
  <c r="AP18" i="2"/>
  <c r="AQ18" i="2" s="1"/>
  <c r="AT18" i="2"/>
  <c r="AU18" i="2" s="1"/>
  <c r="AX18" i="2"/>
  <c r="AY18" i="2"/>
  <c r="AL13" i="2"/>
  <c r="AM13" i="2" s="1"/>
  <c r="AP13" i="2"/>
  <c r="AQ13" i="2" s="1"/>
  <c r="AT13" i="2"/>
  <c r="AU13" i="2" s="1"/>
  <c r="AX13" i="2"/>
  <c r="AY13" i="2"/>
  <c r="AL7" i="2"/>
  <c r="AM7" i="2" s="1"/>
  <c r="AP7" i="2"/>
  <c r="AQ7" i="2" s="1"/>
  <c r="AT7" i="2"/>
  <c r="AU7" i="2" s="1"/>
  <c r="AX7" i="2"/>
  <c r="AY7" i="2"/>
  <c r="AL127" i="2"/>
  <c r="AM127" i="2" s="1"/>
  <c r="AP127" i="2"/>
  <c r="AQ127" i="2" s="1"/>
  <c r="AT127" i="2"/>
  <c r="AU127" i="2" s="1"/>
  <c r="AX127" i="2"/>
  <c r="AY127" i="2"/>
  <c r="AL125" i="2"/>
  <c r="AM125" i="2" s="1"/>
  <c r="AP125" i="2"/>
  <c r="AQ125" i="2" s="1"/>
  <c r="AT125" i="2"/>
  <c r="AU125" i="2" s="1"/>
  <c r="AX125" i="2"/>
  <c r="AY125" i="2"/>
  <c r="AL117" i="2"/>
  <c r="AM117" i="2" s="1"/>
  <c r="AP117" i="2"/>
  <c r="AQ117" i="2" s="1"/>
  <c r="AT117" i="2"/>
  <c r="AU117" i="2" s="1"/>
  <c r="AX117" i="2"/>
  <c r="AY117" i="2"/>
  <c r="AL119" i="2"/>
  <c r="AM119" i="2" s="1"/>
  <c r="AP119" i="2"/>
  <c r="AQ119" i="2" s="1"/>
  <c r="AT119" i="2"/>
  <c r="AU119" i="2" s="1"/>
  <c r="AX119" i="2"/>
  <c r="AY119" i="2"/>
  <c r="AL112" i="2"/>
  <c r="AM112" i="2" s="1"/>
  <c r="AP112" i="2"/>
  <c r="AQ112" i="2" s="1"/>
  <c r="AT112" i="2"/>
  <c r="AU112" i="2" s="1"/>
  <c r="AX112" i="2"/>
  <c r="AY112" i="2"/>
  <c r="AL114" i="2"/>
  <c r="AM114" i="2" s="1"/>
  <c r="AP114" i="2"/>
  <c r="AQ114" i="2" s="1"/>
  <c r="AT114" i="2"/>
  <c r="AU114" i="2" s="1"/>
  <c r="AX114" i="2"/>
  <c r="AY114" i="2"/>
  <c r="AL107" i="2"/>
  <c r="AM107" i="2" s="1"/>
  <c r="AP107" i="2"/>
  <c r="AQ107" i="2" s="1"/>
  <c r="AT107" i="2"/>
  <c r="AU107" i="2" s="1"/>
  <c r="AX107" i="2"/>
  <c r="AY107" i="2"/>
  <c r="AL109" i="2"/>
  <c r="AM109" i="2" s="1"/>
  <c r="AP109" i="2"/>
  <c r="AQ109" i="2" s="1"/>
  <c r="AT109" i="2"/>
  <c r="AU109" i="2" s="1"/>
  <c r="AX109" i="2"/>
  <c r="AY109" i="2"/>
  <c r="AL102" i="2"/>
  <c r="AM102" i="2" s="1"/>
  <c r="AP102" i="2"/>
  <c r="AQ102" i="2" s="1"/>
  <c r="AT102" i="2"/>
  <c r="AU102" i="2" s="1"/>
  <c r="AX102" i="2"/>
  <c r="AY102" i="2"/>
  <c r="AL104" i="2"/>
  <c r="AM104" i="2" s="1"/>
  <c r="AP104" i="2"/>
  <c r="AQ104" i="2" s="1"/>
  <c r="AT104" i="2"/>
  <c r="AU104" i="2" s="1"/>
  <c r="AX104" i="2"/>
  <c r="AY104" i="2"/>
  <c r="AL65" i="2"/>
  <c r="AM65" i="2" s="1"/>
  <c r="AP65" i="2"/>
  <c r="AQ65" i="2" s="1"/>
  <c r="AT65" i="2"/>
  <c r="AU65" i="2" s="1"/>
  <c r="AX65" i="2"/>
  <c r="AY65" i="2"/>
  <c r="AL63" i="2"/>
  <c r="AM63" i="2" s="1"/>
  <c r="AP63" i="2"/>
  <c r="AQ63" i="2" s="1"/>
  <c r="AT63" i="2"/>
  <c r="AU63" i="2" s="1"/>
  <c r="AX63" i="2"/>
  <c r="AY63" i="2"/>
  <c r="AL27" i="2"/>
  <c r="AM27" i="2" s="1"/>
  <c r="AP27" i="2"/>
  <c r="AQ27" i="2" s="1"/>
  <c r="AT27" i="2"/>
  <c r="AU27" i="2" s="1"/>
  <c r="AX27" i="2"/>
  <c r="AY27" i="2"/>
  <c r="AL29" i="2"/>
  <c r="AM29" i="2" s="1"/>
  <c r="AP29" i="2"/>
  <c r="AQ29" i="2" s="1"/>
  <c r="AT29" i="2"/>
  <c r="AU29" i="2" s="1"/>
  <c r="AX29" i="2"/>
  <c r="AY29" i="2"/>
  <c r="AL25" i="2"/>
  <c r="AM25" i="2" s="1"/>
  <c r="AP25" i="2"/>
  <c r="AQ25" i="2" s="1"/>
  <c r="AT25" i="2"/>
  <c r="AU25" i="2"/>
  <c r="AX25" i="2"/>
  <c r="AY25" i="2"/>
  <c r="AL62" i="2"/>
  <c r="AM62" i="2" s="1"/>
  <c r="AP62" i="2"/>
  <c r="AQ62" i="2" s="1"/>
  <c r="AT62" i="2"/>
  <c r="AU62" i="2" s="1"/>
  <c r="AX62" i="2"/>
  <c r="AY62" i="2"/>
  <c r="AL37" i="2"/>
  <c r="AM37" i="2" s="1"/>
  <c r="AP37" i="2"/>
  <c r="AQ37" i="2" s="1"/>
  <c r="AT37" i="2"/>
  <c r="AU37" i="2"/>
  <c r="AX37" i="2"/>
  <c r="AY37" i="2"/>
  <c r="AL36" i="2"/>
  <c r="AM36" i="2" s="1"/>
  <c r="AP36" i="2"/>
  <c r="AQ36" i="2" s="1"/>
  <c r="AT36" i="2"/>
  <c r="AU36" i="2"/>
  <c r="AX36" i="2"/>
  <c r="AY36" i="2"/>
  <c r="AL35" i="2"/>
  <c r="AM35" i="2" s="1"/>
  <c r="AP35" i="2"/>
  <c r="AQ35" i="2" s="1"/>
  <c r="AT35" i="2"/>
  <c r="AU35" i="2"/>
  <c r="AX35" i="2"/>
  <c r="AY35" i="2"/>
  <c r="E150" i="4"/>
  <c r="E149" i="4"/>
  <c r="E148" i="4"/>
  <c r="E147" i="4"/>
  <c r="E146" i="4"/>
  <c r="E145" i="4"/>
  <c r="E144" i="4"/>
  <c r="E143" i="4"/>
  <c r="E142" i="4"/>
  <c r="E141" i="4"/>
  <c r="E140" i="4"/>
  <c r="E139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99" i="4"/>
  <c r="E98" i="4"/>
  <c r="E97" i="4"/>
  <c r="E96" i="4"/>
  <c r="E95" i="4"/>
  <c r="E94" i="4"/>
  <c r="E93" i="4"/>
  <c r="E92" i="4"/>
  <c r="E91" i="4"/>
  <c r="E90" i="4"/>
  <c r="E89" i="4"/>
  <c r="E88" i="4"/>
  <c r="E82" i="4"/>
  <c r="E81" i="4"/>
  <c r="E80" i="4"/>
  <c r="E79" i="4"/>
  <c r="E78" i="4"/>
  <c r="E77" i="4"/>
  <c r="E76" i="4"/>
  <c r="E75" i="4"/>
  <c r="E74" i="4"/>
  <c r="E73" i="4"/>
  <c r="E72" i="4"/>
  <c r="E71" i="4"/>
  <c r="E65" i="4"/>
  <c r="E64" i="4"/>
  <c r="E63" i="4"/>
  <c r="E62" i="4"/>
  <c r="E61" i="4"/>
  <c r="E60" i="4"/>
  <c r="E59" i="4"/>
  <c r="E58" i="4"/>
  <c r="E57" i="4"/>
  <c r="E56" i="4"/>
  <c r="E55" i="4"/>
  <c r="E54" i="4"/>
  <c r="E48" i="4"/>
  <c r="E47" i="4"/>
  <c r="E46" i="4"/>
  <c r="E45" i="4"/>
  <c r="E44" i="4"/>
  <c r="E43" i="4"/>
  <c r="E42" i="4"/>
  <c r="E41" i="4"/>
  <c r="E40" i="4"/>
  <c r="E39" i="4"/>
  <c r="E38" i="4"/>
  <c r="E37" i="4"/>
  <c r="E31" i="4"/>
  <c r="E30" i="4"/>
  <c r="E29" i="4"/>
  <c r="E28" i="4"/>
  <c r="E27" i="4"/>
  <c r="E26" i="4"/>
  <c r="E25" i="4"/>
  <c r="E24" i="4"/>
  <c r="E23" i="4"/>
  <c r="E22" i="4"/>
  <c r="E21" i="4"/>
  <c r="E20" i="4"/>
  <c r="E14" i="4"/>
  <c r="E13" i="4"/>
  <c r="E12" i="4"/>
  <c r="E11" i="4"/>
  <c r="E10" i="4"/>
  <c r="E9" i="4"/>
  <c r="E8" i="4"/>
  <c r="E7" i="4"/>
  <c r="E6" i="4"/>
  <c r="E5" i="4"/>
  <c r="E4" i="4"/>
  <c r="E3" i="4"/>
  <c r="K133" i="1"/>
  <c r="E133" i="1"/>
  <c r="K132" i="1"/>
  <c r="E132" i="1"/>
  <c r="K131" i="1"/>
  <c r="E131" i="1"/>
  <c r="K130" i="1"/>
  <c r="E130" i="1"/>
  <c r="K129" i="1"/>
  <c r="E129" i="1"/>
  <c r="K128" i="1"/>
  <c r="E128" i="1"/>
  <c r="K127" i="1"/>
  <c r="E127" i="1"/>
  <c r="K126" i="1"/>
  <c r="E126" i="1"/>
  <c r="K125" i="1"/>
  <c r="E125" i="1"/>
  <c r="K124" i="1"/>
  <c r="E124" i="1"/>
  <c r="K123" i="1"/>
  <c r="E123" i="1"/>
  <c r="K122" i="1"/>
  <c r="E122" i="1"/>
  <c r="W116" i="1"/>
  <c r="Q116" i="1"/>
  <c r="K116" i="1"/>
  <c r="E116" i="1"/>
  <c r="W115" i="1"/>
  <c r="Q115" i="1"/>
  <c r="K115" i="1"/>
  <c r="E115" i="1"/>
  <c r="W114" i="1"/>
  <c r="Q114" i="1"/>
  <c r="K114" i="1"/>
  <c r="E114" i="1"/>
  <c r="W113" i="1"/>
  <c r="Q113" i="1"/>
  <c r="K113" i="1"/>
  <c r="E113" i="1"/>
  <c r="W112" i="1"/>
  <c r="Q112" i="1"/>
  <c r="K112" i="1"/>
  <c r="E112" i="1"/>
  <c r="W111" i="1"/>
  <c r="Q111" i="1"/>
  <c r="K111" i="1"/>
  <c r="E111" i="1"/>
  <c r="W110" i="1"/>
  <c r="Q110" i="1"/>
  <c r="K110" i="1"/>
  <c r="E110" i="1"/>
  <c r="W109" i="1"/>
  <c r="Q109" i="1"/>
  <c r="K109" i="1"/>
  <c r="E109" i="1"/>
  <c r="W108" i="1"/>
  <c r="Q108" i="1"/>
  <c r="K108" i="1"/>
  <c r="E108" i="1"/>
  <c r="W107" i="1"/>
  <c r="Q107" i="1"/>
  <c r="K107" i="1"/>
  <c r="E107" i="1"/>
  <c r="W106" i="1"/>
  <c r="Q106" i="1"/>
  <c r="K106" i="1"/>
  <c r="E106" i="1"/>
  <c r="W105" i="1"/>
  <c r="Q105" i="1"/>
  <c r="K105" i="1"/>
  <c r="E105" i="1"/>
  <c r="Q99" i="1"/>
  <c r="K99" i="1"/>
  <c r="E99" i="1"/>
  <c r="Q98" i="1"/>
  <c r="K98" i="1"/>
  <c r="E98" i="1"/>
  <c r="Q97" i="1"/>
  <c r="K97" i="1"/>
  <c r="E97" i="1"/>
  <c r="Q96" i="1"/>
  <c r="K96" i="1"/>
  <c r="E96" i="1"/>
  <c r="Q95" i="1"/>
  <c r="K95" i="1"/>
  <c r="E95" i="1"/>
  <c r="Q94" i="1"/>
  <c r="K94" i="1"/>
  <c r="E94" i="1"/>
  <c r="Q93" i="1"/>
  <c r="K93" i="1"/>
  <c r="E93" i="1"/>
  <c r="Q92" i="1"/>
  <c r="K92" i="1"/>
  <c r="E92" i="1"/>
  <c r="Q91" i="1"/>
  <c r="K91" i="1"/>
  <c r="E91" i="1"/>
  <c r="Q90" i="1"/>
  <c r="K90" i="1"/>
  <c r="E90" i="1"/>
  <c r="Q89" i="1"/>
  <c r="K89" i="1"/>
  <c r="E89" i="1"/>
  <c r="Q88" i="1"/>
  <c r="K88" i="1"/>
  <c r="E88" i="1"/>
  <c r="Q82" i="1"/>
  <c r="K82" i="1"/>
  <c r="E82" i="1"/>
  <c r="Q81" i="1"/>
  <c r="K81" i="1"/>
  <c r="E81" i="1"/>
  <c r="Q80" i="1"/>
  <c r="K80" i="1"/>
  <c r="E80" i="1"/>
  <c r="Q79" i="1"/>
  <c r="K79" i="1"/>
  <c r="E79" i="1"/>
  <c r="Q78" i="1"/>
  <c r="K78" i="1"/>
  <c r="E78" i="1"/>
  <c r="Q77" i="1"/>
  <c r="K77" i="1"/>
  <c r="E77" i="1"/>
  <c r="Q76" i="1"/>
  <c r="K76" i="1"/>
  <c r="E76" i="1"/>
  <c r="Q75" i="1"/>
  <c r="K75" i="1"/>
  <c r="E75" i="1"/>
  <c r="Q74" i="1"/>
  <c r="K74" i="1"/>
  <c r="E74" i="1"/>
  <c r="Q73" i="1"/>
  <c r="K73" i="1"/>
  <c r="E73" i="1"/>
  <c r="Q72" i="1"/>
  <c r="K72" i="1"/>
  <c r="E72" i="1"/>
  <c r="Q71" i="1"/>
  <c r="K71" i="1"/>
  <c r="E71" i="1"/>
  <c r="Q65" i="1"/>
  <c r="K65" i="1"/>
  <c r="E65" i="1"/>
  <c r="Q64" i="1"/>
  <c r="K64" i="1"/>
  <c r="E64" i="1"/>
  <c r="Q63" i="1"/>
  <c r="K63" i="1"/>
  <c r="E63" i="1"/>
  <c r="Q62" i="1"/>
  <c r="K62" i="1"/>
  <c r="E62" i="1"/>
  <c r="Q61" i="1"/>
  <c r="K61" i="1"/>
  <c r="E61" i="1"/>
  <c r="Q60" i="1"/>
  <c r="K60" i="1"/>
  <c r="E60" i="1"/>
  <c r="Q59" i="1"/>
  <c r="K59" i="1"/>
  <c r="E59" i="1"/>
  <c r="Q58" i="1"/>
  <c r="K58" i="1"/>
  <c r="E58" i="1"/>
  <c r="Q57" i="1"/>
  <c r="K57" i="1"/>
  <c r="E57" i="1"/>
  <c r="Q56" i="1"/>
  <c r="K56" i="1"/>
  <c r="E56" i="1"/>
  <c r="Q55" i="1"/>
  <c r="K55" i="1"/>
  <c r="E55" i="1"/>
  <c r="Q54" i="1"/>
  <c r="K54" i="1"/>
  <c r="E54" i="1"/>
  <c r="AC48" i="1"/>
  <c r="W48" i="1"/>
  <c r="Q48" i="1"/>
  <c r="K48" i="1"/>
  <c r="E48" i="1"/>
  <c r="AC47" i="1"/>
  <c r="W47" i="1"/>
  <c r="Q47" i="1"/>
  <c r="K47" i="1"/>
  <c r="E47" i="1"/>
  <c r="AC46" i="1"/>
  <c r="W46" i="1"/>
  <c r="Q46" i="1"/>
  <c r="K46" i="1"/>
  <c r="E46" i="1"/>
  <c r="AC45" i="1"/>
  <c r="W45" i="1"/>
  <c r="Q45" i="1"/>
  <c r="K45" i="1"/>
  <c r="E45" i="1"/>
  <c r="AC44" i="1"/>
  <c r="W44" i="1"/>
  <c r="Q44" i="1"/>
  <c r="K44" i="1"/>
  <c r="E44" i="1"/>
  <c r="AC43" i="1"/>
  <c r="W43" i="1"/>
  <c r="Q43" i="1"/>
  <c r="K43" i="1"/>
  <c r="E43" i="1"/>
  <c r="AC42" i="1"/>
  <c r="W42" i="1"/>
  <c r="Q42" i="1"/>
  <c r="K42" i="1"/>
  <c r="E42" i="1"/>
  <c r="AC41" i="1"/>
  <c r="W41" i="1"/>
  <c r="Q41" i="1"/>
  <c r="K41" i="1"/>
  <c r="E41" i="1"/>
  <c r="AC40" i="1"/>
  <c r="W40" i="1"/>
  <c r="Q40" i="1"/>
  <c r="K40" i="1"/>
  <c r="E40" i="1"/>
  <c r="AC39" i="1"/>
  <c r="W39" i="1"/>
  <c r="Q39" i="1"/>
  <c r="K39" i="1"/>
  <c r="E39" i="1"/>
  <c r="AC38" i="1"/>
  <c r="W38" i="1"/>
  <c r="Q38" i="1"/>
  <c r="K38" i="1"/>
  <c r="E38" i="1"/>
  <c r="AC37" i="1"/>
  <c r="W37" i="1"/>
  <c r="Q37" i="1"/>
  <c r="K37" i="1"/>
  <c r="E37" i="1"/>
  <c r="W31" i="1"/>
  <c r="Q31" i="1"/>
  <c r="K31" i="1"/>
  <c r="E31" i="1"/>
  <c r="W30" i="1"/>
  <c r="Q30" i="1"/>
  <c r="K30" i="1"/>
  <c r="E30" i="1"/>
  <c r="W29" i="1"/>
  <c r="Q29" i="1"/>
  <c r="K29" i="1"/>
  <c r="E29" i="1"/>
  <c r="W28" i="1"/>
  <c r="Q28" i="1"/>
  <c r="K28" i="1"/>
  <c r="E28" i="1"/>
  <c r="W27" i="1"/>
  <c r="Q27" i="1"/>
  <c r="K27" i="1"/>
  <c r="E27" i="1"/>
  <c r="W26" i="1"/>
  <c r="Q26" i="1"/>
  <c r="K26" i="1"/>
  <c r="E26" i="1"/>
  <c r="W25" i="1"/>
  <c r="Q25" i="1"/>
  <c r="K25" i="1"/>
  <c r="E25" i="1"/>
  <c r="W24" i="1"/>
  <c r="Q24" i="1"/>
  <c r="K24" i="1"/>
  <c r="E24" i="1"/>
  <c r="W23" i="1"/>
  <c r="Q23" i="1"/>
  <c r="K23" i="1"/>
  <c r="E23" i="1"/>
  <c r="W22" i="1"/>
  <c r="Q22" i="1"/>
  <c r="K22" i="1"/>
  <c r="E22" i="1"/>
  <c r="W21" i="1"/>
  <c r="Q21" i="1"/>
  <c r="K21" i="1"/>
  <c r="E21" i="1"/>
  <c r="W20" i="1"/>
  <c r="Q20" i="1"/>
  <c r="K20" i="1"/>
  <c r="E20" i="1"/>
  <c r="AC14" i="1"/>
  <c r="W14" i="1"/>
  <c r="Q14" i="1"/>
  <c r="K14" i="1"/>
  <c r="E14" i="1"/>
  <c r="AC13" i="1"/>
  <c r="W13" i="1"/>
  <c r="Q13" i="1"/>
  <c r="K13" i="1"/>
  <c r="E13" i="1"/>
  <c r="AC12" i="1"/>
  <c r="W12" i="1"/>
  <c r="Q12" i="1"/>
  <c r="K12" i="1"/>
  <c r="E12" i="1"/>
  <c r="AC11" i="1"/>
  <c r="W11" i="1"/>
  <c r="Q11" i="1"/>
  <c r="K11" i="1"/>
  <c r="E11" i="1"/>
  <c r="AC10" i="1"/>
  <c r="W10" i="1"/>
  <c r="Q10" i="1"/>
  <c r="K10" i="1"/>
  <c r="E10" i="1"/>
  <c r="AC9" i="1"/>
  <c r="W9" i="1"/>
  <c r="Q9" i="1"/>
  <c r="K9" i="1"/>
  <c r="E9" i="1"/>
  <c r="AC8" i="1"/>
  <c r="W8" i="1"/>
  <c r="Q8" i="1"/>
  <c r="K8" i="1"/>
  <c r="E8" i="1"/>
  <c r="AC7" i="1"/>
  <c r="W7" i="1"/>
  <c r="Q7" i="1"/>
  <c r="K7" i="1"/>
  <c r="E7" i="1"/>
  <c r="AC6" i="1"/>
  <c r="W6" i="1"/>
  <c r="Q6" i="1"/>
  <c r="K6" i="1"/>
  <c r="E6" i="1"/>
  <c r="AC5" i="1"/>
  <c r="W5" i="1"/>
  <c r="Q5" i="1"/>
  <c r="K5" i="1"/>
  <c r="E5" i="1"/>
  <c r="AC4" i="1"/>
  <c r="W4" i="1"/>
  <c r="Q4" i="1"/>
  <c r="K4" i="1"/>
  <c r="E4" i="1"/>
  <c r="AC3" i="1"/>
  <c r="W3" i="1"/>
  <c r="Q3" i="1"/>
  <c r="K3" i="1"/>
  <c r="E3" i="1"/>
  <c r="AY132" i="2"/>
  <c r="AX132" i="2"/>
  <c r="AT132" i="2"/>
  <c r="AU132" i="2" s="1"/>
  <c r="AP132" i="2"/>
  <c r="AQ132" i="2" s="1"/>
  <c r="AL132" i="2"/>
  <c r="AM132" i="2" s="1"/>
  <c r="AY130" i="2"/>
  <c r="AX130" i="2"/>
  <c r="AT130" i="2"/>
  <c r="AU130" i="2" s="1"/>
  <c r="AP130" i="2"/>
  <c r="AQ130" i="2" s="1"/>
  <c r="AL130" i="2"/>
  <c r="AM130" i="2" s="1"/>
  <c r="AY129" i="2"/>
  <c r="AX129" i="2"/>
  <c r="AT129" i="2"/>
  <c r="AU129" i="2" s="1"/>
  <c r="AP129" i="2"/>
  <c r="AQ129" i="2" s="1"/>
  <c r="AL129" i="2"/>
  <c r="AM129" i="2" s="1"/>
  <c r="AY128" i="2"/>
  <c r="AX128" i="2"/>
  <c r="AT128" i="2"/>
  <c r="AU128" i="2" s="1"/>
  <c r="AP128" i="2"/>
  <c r="AQ128" i="2" s="1"/>
  <c r="AL128" i="2"/>
  <c r="AM128" i="2" s="1"/>
  <c r="AY124" i="2"/>
  <c r="AX124" i="2"/>
  <c r="AU124" i="2"/>
  <c r="AT124" i="2"/>
  <c r="AP124" i="2"/>
  <c r="AQ124" i="2" s="1"/>
  <c r="AY123" i="2"/>
  <c r="AX123" i="2"/>
  <c r="AT123" i="2"/>
  <c r="AU123" i="2" s="1"/>
  <c r="AP123" i="2"/>
  <c r="AQ123" i="2" s="1"/>
  <c r="AM123" i="2"/>
  <c r="AY116" i="2"/>
  <c r="AX116" i="2"/>
  <c r="AT116" i="2"/>
  <c r="AU116" i="2" s="1"/>
  <c r="AY115" i="2"/>
  <c r="AX115" i="2"/>
  <c r="AT115" i="2"/>
  <c r="AU115" i="2" s="1"/>
  <c r="AY111" i="2"/>
  <c r="AX111" i="2"/>
  <c r="AU111" i="2"/>
  <c r="AT111" i="2"/>
  <c r="AY110" i="2"/>
  <c r="AX110" i="2"/>
  <c r="AU110" i="2"/>
  <c r="AT110" i="2"/>
  <c r="AY106" i="2"/>
  <c r="AX106" i="2"/>
  <c r="AU106" i="2"/>
  <c r="AT106" i="2"/>
  <c r="AY105" i="2"/>
  <c r="AX105" i="2"/>
  <c r="AU105" i="2"/>
  <c r="AT105" i="2"/>
  <c r="AY101" i="2"/>
  <c r="AX101" i="2"/>
  <c r="AU101" i="2"/>
  <c r="AT101" i="2"/>
  <c r="AY100" i="2"/>
  <c r="AX100" i="2"/>
  <c r="AU100" i="2"/>
  <c r="AT100" i="2"/>
  <c r="AY96" i="2"/>
  <c r="AX96" i="2"/>
  <c r="AT96" i="2"/>
  <c r="AU96" i="2" s="1"/>
  <c r="AY93" i="2"/>
  <c r="AX93" i="2"/>
  <c r="AU93" i="2"/>
  <c r="AT93" i="2"/>
  <c r="AY92" i="2"/>
  <c r="AX92" i="2"/>
  <c r="AU92" i="2"/>
  <c r="AT92" i="2"/>
  <c r="AY82" i="2"/>
  <c r="AX82" i="2"/>
  <c r="AT82" i="2"/>
  <c r="AU82" i="2" s="1"/>
  <c r="AY80" i="2"/>
  <c r="AX80" i="2"/>
  <c r="AT80" i="2"/>
  <c r="AU80" i="2" s="1"/>
  <c r="AY79" i="2"/>
  <c r="AX79" i="2"/>
  <c r="AU79" i="2"/>
  <c r="AT79" i="2"/>
  <c r="AY75" i="2"/>
  <c r="AX75" i="2"/>
  <c r="AT75" i="2"/>
  <c r="AU75" i="2" s="1"/>
  <c r="AP75" i="2"/>
  <c r="AQ75" i="2" s="1"/>
  <c r="AL75" i="2"/>
  <c r="AM75" i="2" s="1"/>
  <c r="AY73" i="2"/>
  <c r="AX73" i="2"/>
  <c r="AT73" i="2"/>
  <c r="AU73" i="2" s="1"/>
  <c r="AP73" i="2"/>
  <c r="AQ73" i="2" s="1"/>
  <c r="AL73" i="2"/>
  <c r="AM73" i="2" s="1"/>
  <c r="AY72" i="2"/>
  <c r="AX72" i="2"/>
  <c r="AT72" i="2"/>
  <c r="AU72" i="2" s="1"/>
  <c r="AP72" i="2"/>
  <c r="AQ72" i="2" s="1"/>
  <c r="AL72" i="2"/>
  <c r="AM72" i="2" s="1"/>
  <c r="AY71" i="2"/>
  <c r="AX71" i="2"/>
  <c r="AT71" i="2"/>
  <c r="AU71" i="2" s="1"/>
  <c r="AP71" i="2"/>
  <c r="AQ71" i="2" s="1"/>
  <c r="AL71" i="2"/>
  <c r="AM71" i="2" s="1"/>
  <c r="AY69" i="2"/>
  <c r="AX69" i="2"/>
  <c r="AU69" i="2"/>
  <c r="AT69" i="2"/>
  <c r="AY68" i="2"/>
  <c r="AX68" i="2"/>
  <c r="AU68" i="2"/>
  <c r="AT68" i="2"/>
  <c r="AY67" i="2"/>
  <c r="AX67" i="2"/>
  <c r="AU67" i="2"/>
  <c r="AT67" i="2"/>
  <c r="AY58" i="2"/>
  <c r="AX58" i="2"/>
  <c r="AT58" i="2"/>
  <c r="AU58" i="2" s="1"/>
  <c r="AY56" i="2"/>
  <c r="AX56" i="2"/>
  <c r="AT56" i="2"/>
  <c r="AU56" i="2" s="1"/>
  <c r="AY55" i="2"/>
  <c r="AX55" i="2"/>
  <c r="AU55" i="2"/>
  <c r="AT55" i="2"/>
  <c r="AY54" i="2"/>
  <c r="AX54" i="2"/>
  <c r="AU54" i="2"/>
  <c r="AT54" i="2"/>
  <c r="AY53" i="2"/>
  <c r="AX53" i="2"/>
  <c r="AU53" i="2"/>
  <c r="AT53" i="2"/>
  <c r="AY49" i="2"/>
  <c r="AX49" i="2"/>
  <c r="AT49" i="2"/>
  <c r="AU49" i="2" s="1"/>
  <c r="AP49" i="2"/>
  <c r="AQ49" i="2" s="1"/>
  <c r="AL49" i="2"/>
  <c r="AM49" i="2" s="1"/>
  <c r="AY47" i="2"/>
  <c r="AX47" i="2"/>
  <c r="AT47" i="2"/>
  <c r="AU47" i="2" s="1"/>
  <c r="AP47" i="2"/>
  <c r="AQ47" i="2" s="1"/>
  <c r="AL47" i="2"/>
  <c r="AM47" i="2" s="1"/>
  <c r="AY46" i="2"/>
  <c r="AX46" i="2"/>
  <c r="AT46" i="2"/>
  <c r="AU46" i="2" s="1"/>
  <c r="AP46" i="2"/>
  <c r="AQ46" i="2" s="1"/>
  <c r="AL46" i="2"/>
  <c r="AM46" i="2" s="1"/>
  <c r="AY45" i="2"/>
  <c r="AX45" i="2"/>
  <c r="AT45" i="2"/>
  <c r="AU45" i="2" s="1"/>
  <c r="AP45" i="2"/>
  <c r="AQ45" i="2" s="1"/>
  <c r="AL45" i="2"/>
  <c r="AM45" i="2" s="1"/>
  <c r="AY44" i="2"/>
  <c r="AX44" i="2"/>
  <c r="AU44" i="2"/>
  <c r="AT44" i="2"/>
  <c r="AP44" i="2"/>
  <c r="AQ44" i="2" s="1"/>
  <c r="AL44" i="2"/>
  <c r="AM44" i="2" s="1"/>
  <c r="AY43" i="2"/>
  <c r="AX43" i="2"/>
  <c r="AT43" i="2"/>
  <c r="AU43" i="2" s="1"/>
  <c r="AP43" i="2"/>
  <c r="AQ43" i="2" s="1"/>
  <c r="AL43" i="2"/>
  <c r="AM43" i="2" s="1"/>
  <c r="AY42" i="2"/>
  <c r="AX42" i="2"/>
  <c r="AT42" i="2"/>
  <c r="AU42" i="2" s="1"/>
  <c r="AP42" i="2"/>
  <c r="AQ42" i="2" s="1"/>
  <c r="AL42" i="2"/>
  <c r="AM42" i="2" s="1"/>
  <c r="AY40" i="2"/>
  <c r="AX40" i="2"/>
  <c r="AT40" i="2"/>
  <c r="AU40" i="2" s="1"/>
  <c r="AP40" i="2"/>
  <c r="AQ40" i="2" s="1"/>
  <c r="AL40" i="2"/>
  <c r="AM40" i="2" s="1"/>
  <c r="AY39" i="2"/>
  <c r="AX39" i="2"/>
  <c r="AT39" i="2"/>
  <c r="AU39" i="2" s="1"/>
  <c r="AP39" i="2"/>
  <c r="AQ39" i="2" s="1"/>
  <c r="AL39" i="2"/>
  <c r="AM39" i="2" s="1"/>
  <c r="AY38" i="2"/>
  <c r="AX38" i="2"/>
  <c r="AT38" i="2"/>
  <c r="AU38" i="2" s="1"/>
  <c r="AP38" i="2"/>
  <c r="AQ38" i="2" s="1"/>
  <c r="AL38" i="2"/>
  <c r="AM38" i="2" s="1"/>
  <c r="AY34" i="2"/>
  <c r="AX34" i="2"/>
  <c r="AT34" i="2"/>
  <c r="AU34" i="2" s="1"/>
  <c r="AP34" i="2"/>
  <c r="AQ34" i="2" s="1"/>
  <c r="AL34" i="2"/>
  <c r="AM34" i="2" s="1"/>
  <c r="AY32" i="2"/>
  <c r="AX32" i="2"/>
  <c r="AT32" i="2"/>
  <c r="AU32" i="2" s="1"/>
  <c r="AP32" i="2"/>
  <c r="AQ32" i="2" s="1"/>
  <c r="AL32" i="2"/>
  <c r="AM32" i="2" s="1"/>
  <c r="AY31" i="2"/>
  <c r="AX31" i="2"/>
  <c r="AU31" i="2"/>
  <c r="AT31" i="2"/>
  <c r="AP31" i="2"/>
  <c r="AQ31" i="2" s="1"/>
  <c r="AL31" i="2"/>
  <c r="AM31" i="2" s="1"/>
  <c r="AY30" i="2"/>
  <c r="AX30" i="2"/>
  <c r="AT30" i="2"/>
  <c r="AU30" i="2" s="1"/>
  <c r="AP30" i="2"/>
  <c r="AQ30" i="2" s="1"/>
  <c r="AL30" i="2"/>
  <c r="AM30" i="2" s="1"/>
  <c r="AY26" i="2"/>
  <c r="AX26" i="2"/>
  <c r="AU26" i="2"/>
  <c r="AT26" i="2"/>
  <c r="AY24" i="2"/>
  <c r="AX24" i="2"/>
  <c r="AT24" i="2"/>
  <c r="AU24" i="2" s="1"/>
  <c r="AP24" i="2"/>
  <c r="AQ24" i="2" s="1"/>
  <c r="AL24" i="2"/>
  <c r="AM24" i="2" s="1"/>
  <c r="AY22" i="2"/>
  <c r="AX22" i="2"/>
  <c r="AT22" i="2"/>
  <c r="AU22" i="2" s="1"/>
  <c r="AP22" i="2"/>
  <c r="AQ22" i="2" s="1"/>
  <c r="AL22" i="2"/>
  <c r="AM22" i="2" s="1"/>
  <c r="AY21" i="2"/>
  <c r="AX21" i="2"/>
  <c r="AT21" i="2"/>
  <c r="AU21" i="2" s="1"/>
  <c r="AP21" i="2"/>
  <c r="AQ21" i="2" s="1"/>
  <c r="AL21" i="2"/>
  <c r="AM21" i="2" s="1"/>
  <c r="AY20" i="2"/>
  <c r="AX20" i="2"/>
  <c r="AT20" i="2"/>
  <c r="AU20" i="2" s="1"/>
  <c r="AP20" i="2"/>
  <c r="AQ20" i="2" s="1"/>
  <c r="AY19" i="2"/>
  <c r="AX19" i="2"/>
  <c r="AT19" i="2"/>
  <c r="AU19" i="2" s="1"/>
  <c r="AP19" i="2"/>
  <c r="AQ19" i="2" s="1"/>
  <c r="AL19" i="2"/>
  <c r="AM19" i="2" s="1"/>
  <c r="AY17" i="2"/>
  <c r="AX17" i="2"/>
  <c r="AT17" i="2"/>
  <c r="AU17" i="2" s="1"/>
  <c r="AP17" i="2"/>
  <c r="AQ17" i="2" s="1"/>
  <c r="AL17" i="2"/>
  <c r="AM17" i="2" s="1"/>
  <c r="AY16" i="2"/>
  <c r="AX16" i="2"/>
  <c r="AT16" i="2"/>
  <c r="AU16" i="2" s="1"/>
  <c r="AP16" i="2"/>
  <c r="AQ16" i="2" s="1"/>
  <c r="AL16" i="2"/>
  <c r="AM16" i="2" s="1"/>
  <c r="AY15" i="2"/>
  <c r="AX15" i="2"/>
  <c r="AT15" i="2"/>
  <c r="AU15" i="2" s="1"/>
  <c r="AP15" i="2"/>
  <c r="AQ15" i="2" s="1"/>
  <c r="AL15" i="2"/>
  <c r="AM15" i="2" s="1"/>
  <c r="AY14" i="2"/>
  <c r="AX14" i="2"/>
  <c r="AT14" i="2"/>
  <c r="AU14" i="2" s="1"/>
  <c r="AP14" i="2"/>
  <c r="AQ14" i="2" s="1"/>
  <c r="AL14" i="2"/>
  <c r="AM14" i="2" s="1"/>
  <c r="AY12" i="2"/>
  <c r="AX12" i="2"/>
  <c r="AT12" i="2"/>
  <c r="AU12" i="2" s="1"/>
  <c r="AP12" i="2"/>
  <c r="AQ12" i="2" s="1"/>
  <c r="AL12" i="2"/>
  <c r="AM12" i="2" s="1"/>
  <c r="AY11" i="2"/>
  <c r="AX11" i="2"/>
  <c r="AT11" i="2"/>
  <c r="AU11" i="2" s="1"/>
  <c r="AP11" i="2"/>
  <c r="AQ11" i="2" s="1"/>
  <c r="AL11" i="2"/>
  <c r="AM11" i="2" s="1"/>
  <c r="AY10" i="2"/>
  <c r="AX10" i="2"/>
  <c r="AT10" i="2"/>
  <c r="AU10" i="2" s="1"/>
  <c r="AP10" i="2"/>
  <c r="AQ10" i="2" s="1"/>
  <c r="AL10" i="2"/>
  <c r="AY9" i="2"/>
  <c r="AX9" i="2"/>
  <c r="AT9" i="2"/>
  <c r="AU9" i="2" s="1"/>
  <c r="AP9" i="2"/>
  <c r="AQ9" i="2" s="1"/>
  <c r="AL9" i="2"/>
  <c r="AM9" i="2" s="1"/>
  <c r="AY8" i="2"/>
  <c r="AX8" i="2"/>
  <c r="AT8" i="2"/>
  <c r="AU8" i="2" s="1"/>
  <c r="AP8" i="2"/>
  <c r="AQ8" i="2" s="1"/>
  <c r="AL8" i="2"/>
  <c r="AY6" i="2"/>
  <c r="AX6" i="2"/>
  <c r="AT6" i="2"/>
  <c r="AU6" i="2" s="1"/>
  <c r="AP6" i="2"/>
  <c r="AQ6" i="2" s="1"/>
  <c r="AL6" i="2"/>
  <c r="AY5" i="2"/>
  <c r="AX5" i="2"/>
  <c r="AT5" i="2"/>
  <c r="AU5" i="2" s="1"/>
  <c r="AP5" i="2"/>
  <c r="AQ5" i="2" s="1"/>
  <c r="AL5" i="2"/>
  <c r="AY4" i="2"/>
  <c r="AX4" i="2"/>
  <c r="AT4" i="2"/>
  <c r="AU4" i="2" s="1"/>
  <c r="AP4" i="2"/>
  <c r="AQ4" i="2" s="1"/>
  <c r="AL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36279F-4B42-4200-9D96-25793940028C}" keepAlive="1" name="查询 - 电量统计表" description="与工作簿中“电量统计表”查询的连接。" type="5" refreshedVersion="0" background="1">
    <dbPr connection="Provider=Microsoft.Mashup.OleDb.1;Data Source=$Workbook$;Location=电量统计表;Extended Properties=&quot;&quot;" command="SELECT * FROM [电量统计表]"/>
  </connection>
  <connection id="2" xr16:uid="{D61A31A7-3598-432C-A42F-9F61873E2BAD}" keepAlive="1" name="查询 - 公司信息" description="与工作簿中“公司信息”查询的连接。" type="5" refreshedVersion="0" background="1">
    <dbPr connection="Provider=Microsoft.Mashup.OleDb.1;Data Source=$Workbook$;Location=公司信息;Extended Properties=&quot;&quot;" command="SELECT * FROM [公司信息]"/>
  </connection>
  <connection id="3" xr16:uid="{6CB1405B-69CF-4847-86D7-00B882E42680}" keepAlive="1" name="查询 - 综合信息" description="与工作簿中“综合信息”查询的连接。" type="5" refreshedVersion="8" background="1" saveData="1">
    <dbPr connection="Provider=Microsoft.Mashup.OleDb.1;Data Source=$Workbook$;Location=综合信息;Extended Properties=&quot;&quot;" command="SELECT * FROM [综合信息]"/>
  </connection>
</connections>
</file>

<file path=xl/sharedStrings.xml><?xml version="1.0" encoding="utf-8"?>
<sst xmlns="http://schemas.openxmlformats.org/spreadsheetml/2006/main" count="726" uniqueCount="299">
  <si>
    <t>房间号</t>
  </si>
  <si>
    <t>倍数</t>
  </si>
  <si>
    <t>表底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</si>
  <si>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</si>
  <si>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</si>
  <si>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</si>
  <si>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</si>
  <si>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</si>
  <si>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</si>
  <si>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</si>
  <si>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</si>
  <si>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</si>
  <si>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</si>
  <si>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</si>
  <si>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</si>
  <si>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度数</t>
  </si>
  <si>
    <t>空调</t>
  </si>
  <si>
    <t>用电量</t>
  </si>
  <si>
    <t>总用电量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</si>
  <si>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</si>
  <si>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</si>
  <si>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</si>
  <si>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</si>
  <si>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</si>
  <si>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</si>
  <si>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</si>
  <si>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</si>
  <si>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</si>
  <si>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</si>
  <si>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</si>
  <si>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</si>
  <si>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</si>
  <si>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</si>
  <si>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</si>
  <si>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</si>
  <si>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</si>
  <si>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</si>
  <si>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</si>
  <si>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</si>
  <si>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</si>
  <si>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</si>
  <si>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</si>
  <si>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</si>
  <si>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</si>
  <si>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</si>
  <si>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</si>
  <si>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</si>
  <si>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1-101</t>
  </si>
  <si>
    <t>1-102</t>
  </si>
  <si>
    <t>1-1-公</t>
  </si>
  <si>
    <t>1-201</t>
  </si>
  <si>
    <t>1-202</t>
  </si>
  <si>
    <t>1-2-公</t>
  </si>
  <si>
    <t>1-2-总</t>
  </si>
  <si>
    <t>1-301</t>
  </si>
  <si>
    <t>1-302</t>
  </si>
  <si>
    <t>1-3-公</t>
  </si>
  <si>
    <t>1-401</t>
  </si>
  <si>
    <t>1-402</t>
  </si>
  <si>
    <t>1-4-公</t>
  </si>
  <si>
    <t>1-4-总</t>
  </si>
  <si>
    <t>1-502</t>
  </si>
  <si>
    <t>1-601</t>
  </si>
  <si>
    <t>1-602</t>
  </si>
  <si>
    <t>1-6-公</t>
  </si>
  <si>
    <t>1-6-总</t>
  </si>
  <si>
    <t>1-702-1</t>
  </si>
  <si>
    <t>1-702-2</t>
  </si>
  <si>
    <t>1-7-公</t>
  </si>
  <si>
    <t>1-7-总</t>
  </si>
  <si>
    <t>1-801</t>
  </si>
  <si>
    <t>1-802-1</t>
  </si>
  <si>
    <t>1-802-2</t>
  </si>
  <si>
    <t>1-802-3</t>
  </si>
  <si>
    <t>1-8-公</t>
  </si>
  <si>
    <t>1-8-总</t>
  </si>
  <si>
    <t>2-102</t>
  </si>
  <si>
    <t>2-102-内</t>
  </si>
  <si>
    <t>2-1-公</t>
  </si>
  <si>
    <t>2-1-总</t>
  </si>
  <si>
    <t>2-401-1</t>
  </si>
  <si>
    <t>2-401-2</t>
  </si>
  <si>
    <t>2-402-1</t>
  </si>
  <si>
    <t>2-402-2</t>
  </si>
  <si>
    <t>2-4-总</t>
  </si>
  <si>
    <t>2-601</t>
  </si>
  <si>
    <t>2-6-公区</t>
  </si>
  <si>
    <t>2-6-总</t>
  </si>
  <si>
    <t>3-102</t>
  </si>
  <si>
    <t>3-102风幕</t>
  </si>
  <si>
    <t>3-1-总</t>
  </si>
  <si>
    <t>3-301</t>
  </si>
  <si>
    <t>3-302</t>
  </si>
  <si>
    <t>3-401</t>
  </si>
  <si>
    <t>3-402</t>
  </si>
  <si>
    <t>3-501</t>
  </si>
  <si>
    <t>3-502</t>
  </si>
  <si>
    <t>3-601</t>
  </si>
  <si>
    <t>3-602</t>
  </si>
  <si>
    <t>3-801-1</t>
  </si>
  <si>
    <t>3-801-2</t>
  </si>
  <si>
    <t>3-901</t>
  </si>
  <si>
    <t>3-902</t>
  </si>
  <si>
    <t>3-9-公</t>
  </si>
  <si>
    <t>3-9-总</t>
  </si>
  <si>
    <t>2025年一单元3层东区办公区用电量</t>
  </si>
  <si>
    <t>2025年一单元3层总用电量</t>
  </si>
  <si>
    <t>2025年一单元3层公区用电量</t>
  </si>
  <si>
    <t>2025年一单元3层西区办公区用电量</t>
  </si>
  <si>
    <t>2025年一单元3层应急用电量</t>
  </si>
  <si>
    <t>月份</t>
  </si>
  <si>
    <t>上月表数</t>
  </si>
  <si>
    <t>倍率</t>
  </si>
  <si>
    <t>本月表数</t>
  </si>
  <si>
    <t>实际用量（度）</t>
  </si>
  <si>
    <t>2025年一单元2层东区用电量</t>
  </si>
  <si>
    <t>2025年一单元2层总用电量</t>
  </si>
  <si>
    <t>2025年一单元2层西区用电量</t>
  </si>
  <si>
    <t>2025年一单元2层应急用电量</t>
  </si>
  <si>
    <t>2025年一单元1层西区用电量</t>
  </si>
  <si>
    <t>2025年一单元1层公区用电量</t>
  </si>
  <si>
    <t>2025年一单元1层东区用电量</t>
  </si>
  <si>
    <t>2025年一单元1层总用电量</t>
  </si>
  <si>
    <t>2025年一单元1层应急照明用电量</t>
  </si>
  <si>
    <t>2025年一单元8层西区用电量</t>
  </si>
  <si>
    <t>2025年一单元8层东区用电量</t>
  </si>
  <si>
    <t>2025年一单元8层公区用电量</t>
  </si>
  <si>
    <t>2025年一单元4层西区用电量</t>
  </si>
  <si>
    <t>2025年一单元4层东区用电量</t>
  </si>
  <si>
    <t>2025年一单元4层公区用电量</t>
  </si>
  <si>
    <t>2025年二单元4层西区用电量</t>
  </si>
  <si>
    <t>2025年二单元4层东区用电量</t>
  </si>
  <si>
    <t>2025年二单元4层公区用电量</t>
  </si>
  <si>
    <t>2025年一单元6层应急用电量</t>
  </si>
  <si>
    <t>2025年一单元6层公区用电量</t>
  </si>
  <si>
    <t>2025年一单元6层东区用电量</t>
  </si>
  <si>
    <t>2025年三单元9层东区用电量</t>
  </si>
  <si>
    <t>2025年三单元9层西区用电量</t>
  </si>
  <si>
    <t>2025年一单元1层外机空调用电量</t>
  </si>
  <si>
    <t>2025年一单元2层外机空调用电量</t>
  </si>
  <si>
    <t>2025年一单元3层外机空调用电量</t>
  </si>
  <si>
    <t>2025年一单元4层外机空调用电量</t>
  </si>
  <si>
    <t>2025年一单元5层外机空调用电量</t>
  </si>
  <si>
    <t>2025年一单元6层外机空调用电量</t>
  </si>
  <si>
    <t>2025年一单元7层外机空调用电量</t>
  </si>
  <si>
    <t>2025年一单元8层外机空调用电量</t>
  </si>
  <si>
    <t>2025年一单元9层外机空调用电量</t>
  </si>
  <si>
    <t>门牌号</t>
  </si>
  <si>
    <t>门牌号</t>
    <phoneticPr fontId="10" type="noConversion"/>
  </si>
  <si>
    <t>倍率</t>
    <phoneticPr fontId="10" type="noConversion"/>
  </si>
  <si>
    <t>表底</t>
    <phoneticPr fontId="10" type="noConversion"/>
  </si>
  <si>
    <t>8-度数</t>
    <phoneticPr fontId="10" type="noConversion"/>
  </si>
  <si>
    <t>8-空调</t>
    <phoneticPr fontId="10" type="noConversion"/>
  </si>
  <si>
    <t>8-用电量</t>
    <phoneticPr fontId="10" type="noConversion"/>
  </si>
  <si>
    <t>8-总用电量</t>
    <phoneticPr fontId="10" type="noConversion"/>
  </si>
  <si>
    <t>9-度数</t>
    <phoneticPr fontId="10" type="noConversion"/>
  </si>
  <si>
    <t>9-空调</t>
    <phoneticPr fontId="10" type="noConversion"/>
  </si>
  <si>
    <t>9-用电量</t>
    <phoneticPr fontId="10" type="noConversion"/>
  </si>
  <si>
    <t>9-总用电量</t>
    <phoneticPr fontId="10" type="noConversion"/>
  </si>
  <si>
    <t>10-度数</t>
  </si>
  <si>
    <t>10-度数</t>
    <phoneticPr fontId="10" type="noConversion"/>
  </si>
  <si>
    <t>10-空调</t>
  </si>
  <si>
    <t>10-空调</t>
    <phoneticPr fontId="10" type="noConversion"/>
  </si>
  <si>
    <t>10-用电量</t>
  </si>
  <si>
    <t>10-用电量</t>
    <phoneticPr fontId="10" type="noConversion"/>
  </si>
  <si>
    <t>10-总用电量</t>
  </si>
  <si>
    <t>10-总用电量</t>
    <phoneticPr fontId="10" type="noConversion"/>
  </si>
  <si>
    <t>11-度数</t>
  </si>
  <si>
    <t>11-度数</t>
    <phoneticPr fontId="10" type="noConversion"/>
  </si>
  <si>
    <t>11-空调</t>
  </si>
  <si>
    <t>11-空调</t>
    <phoneticPr fontId="10" type="noConversion"/>
  </si>
  <si>
    <t>11-用电量</t>
  </si>
  <si>
    <t>11-用电量</t>
    <phoneticPr fontId="10" type="noConversion"/>
  </si>
  <si>
    <t>11-总用电量</t>
  </si>
  <si>
    <t>11-总用电量</t>
    <phoneticPr fontId="10" type="noConversion"/>
  </si>
  <si>
    <t>12-度数</t>
  </si>
  <si>
    <t>12-度数</t>
    <phoneticPr fontId="10" type="noConversion"/>
  </si>
  <si>
    <t>12-空调</t>
  </si>
  <si>
    <t>12-空调</t>
    <phoneticPr fontId="10" type="noConversion"/>
  </si>
  <si>
    <t>12-用电量</t>
  </si>
  <si>
    <t>12-用电量</t>
    <phoneticPr fontId="10" type="noConversion"/>
  </si>
  <si>
    <t>12-总用电量</t>
  </si>
  <si>
    <t>12-总用电量</t>
    <phoneticPr fontId="10" type="noConversion"/>
  </si>
  <si>
    <t/>
  </si>
  <si>
    <t>i艺数文化传播有限公司</t>
  </si>
  <si>
    <t>汪女士</t>
  </si>
  <si>
    <t>北京金地</t>
  </si>
  <si>
    <t>雁栖湖文旅</t>
  </si>
  <si>
    <t>北京渡梦科技有限公司</t>
  </si>
  <si>
    <t>代孟钰</t>
  </si>
  <si>
    <t>北京映像空间文化传媒有限责任公司</t>
  </si>
  <si>
    <t>张迹</t>
  </si>
  <si>
    <t>北京晴旭动画有限公司</t>
  </si>
  <si>
    <t>李剑平</t>
  </si>
  <si>
    <t>金炬文艺（北京）文化传播有限公司</t>
  </si>
  <si>
    <t>刘博</t>
  </si>
  <si>
    <t>北京呈器艺创科技有限公司</t>
  </si>
  <si>
    <t>姜智元</t>
  </si>
  <si>
    <t>流然陶瓷艺术（北京）有限公司</t>
  </si>
  <si>
    <t>李婧</t>
  </si>
  <si>
    <t>北京神经视觉文化科技有限公司</t>
  </si>
  <si>
    <t>严湘宁</t>
  </si>
  <si>
    <t>漫果映画数字影业(北京)有限公司</t>
  </si>
  <si>
    <t>吴限</t>
  </si>
  <si>
    <t>北京硕朗睿文化艺术有限公司</t>
  </si>
  <si>
    <t>于硕</t>
  </si>
  <si>
    <t>北京星漫乐广告设计有限公司</t>
  </si>
  <si>
    <t>谢建峰</t>
  </si>
  <si>
    <t>中公教育</t>
  </si>
  <si>
    <t>北京聚烨文化传媒有限公司</t>
  </si>
  <si>
    <t>张伟</t>
  </si>
  <si>
    <t>北京诗麓影视文化传媒有限责任公司</t>
  </si>
  <si>
    <t>张青松</t>
  </si>
  <si>
    <t>北京中源数智赋农教育科技有限公司</t>
  </si>
  <si>
    <t>于朝源</t>
  </si>
  <si>
    <t>单位名称</t>
  </si>
  <si>
    <t>联系人</t>
  </si>
  <si>
    <t>电话</t>
  </si>
  <si>
    <t>1-701-1</t>
  </si>
  <si>
    <t>北京回声象限文化传媒有限公司</t>
  </si>
  <si>
    <t>姜欣怡</t>
  </si>
  <si>
    <t>1-701-2</t>
  </si>
  <si>
    <t>北京薄盒音乐文化传媒有限公司</t>
  </si>
  <si>
    <t>金睿捷</t>
  </si>
  <si>
    <t>1-701-3</t>
  </si>
  <si>
    <t>北京三盒猫文化传媒有限公司</t>
  </si>
  <si>
    <t>殷佳悦</t>
  </si>
  <si>
    <t>1-701-1</t>
    <phoneticPr fontId="10" type="noConversion"/>
  </si>
  <si>
    <t>1-701-2</t>
    <phoneticPr fontId="10" type="noConversion"/>
  </si>
  <si>
    <t>1-701-3</t>
    <phoneticPr fontId="10" type="noConversion"/>
  </si>
  <si>
    <t>2-401-3</t>
    <phoneticPr fontId="10" type="noConversion"/>
  </si>
  <si>
    <t>2-102-风幕</t>
    <phoneticPr fontId="10" type="noConversion"/>
  </si>
  <si>
    <t>1-3-总</t>
    <phoneticPr fontId="10" type="noConversion"/>
  </si>
  <si>
    <t>1-1-总</t>
    <phoneticPr fontId="10" type="noConversion"/>
  </si>
  <si>
    <t>1-201-内</t>
    <phoneticPr fontId="10" type="noConversion"/>
  </si>
  <si>
    <t>2-301</t>
    <phoneticPr fontId="10" type="noConversion"/>
  </si>
  <si>
    <t>2-601</t>
    <phoneticPr fontId="10" type="noConversion"/>
  </si>
  <si>
    <t>1-501</t>
    <phoneticPr fontId="10" type="noConversion"/>
  </si>
  <si>
    <t>1-5-总</t>
    <phoneticPr fontId="10" type="noConversion"/>
  </si>
  <si>
    <t>1-5-公</t>
    <phoneticPr fontId="10" type="noConversion"/>
  </si>
  <si>
    <t>3-3-总</t>
    <phoneticPr fontId="10" type="noConversion"/>
  </si>
  <si>
    <t>3-3-公</t>
    <phoneticPr fontId="10" type="noConversion"/>
  </si>
  <si>
    <t>3-4-总</t>
    <phoneticPr fontId="10" type="noConversion"/>
  </si>
  <si>
    <t>3-4-公</t>
    <phoneticPr fontId="10" type="noConversion"/>
  </si>
  <si>
    <t>3-5-总</t>
    <phoneticPr fontId="10" type="noConversion"/>
  </si>
  <si>
    <t>3-5-公</t>
    <phoneticPr fontId="10" type="noConversion"/>
  </si>
  <si>
    <t>3-6-总</t>
    <phoneticPr fontId="10" type="noConversion"/>
  </si>
  <si>
    <t>3-6-公</t>
    <phoneticPr fontId="10" type="noConversion"/>
  </si>
  <si>
    <t>3-8-总</t>
    <phoneticPr fontId="10" type="noConversion"/>
  </si>
  <si>
    <t>3-8-公</t>
    <phoneticPr fontId="10" type="noConversion"/>
  </si>
  <si>
    <t>2-3-公</t>
    <phoneticPr fontId="10" type="noConversion"/>
  </si>
  <si>
    <t>2-3-总</t>
    <phoneticPr fontId="10" type="noConversion"/>
  </si>
  <si>
    <t>1-1-应急</t>
    <phoneticPr fontId="10" type="noConversion"/>
  </si>
  <si>
    <t>1-3-应急</t>
    <phoneticPr fontId="10" type="noConversion"/>
  </si>
  <si>
    <t>1-2-应急</t>
    <phoneticPr fontId="10" type="noConversion"/>
  </si>
  <si>
    <t>1-4-应急</t>
    <phoneticPr fontId="10" type="noConversion"/>
  </si>
  <si>
    <t>1-5-应急</t>
    <phoneticPr fontId="10" type="noConversion"/>
  </si>
  <si>
    <t>1-6-应急</t>
    <phoneticPr fontId="10" type="noConversion"/>
  </si>
  <si>
    <t>1-7-应急</t>
    <phoneticPr fontId="10" type="noConversion"/>
  </si>
  <si>
    <t>1-8-应急</t>
    <phoneticPr fontId="10" type="noConversion"/>
  </si>
  <si>
    <t>1-9-应急</t>
    <phoneticPr fontId="10" type="noConversion"/>
  </si>
  <si>
    <t>2-1-应急</t>
    <phoneticPr fontId="10" type="noConversion"/>
  </si>
  <si>
    <t>2-3-应急</t>
    <phoneticPr fontId="10" type="noConversion"/>
  </si>
  <si>
    <t>2-4-应急</t>
    <phoneticPr fontId="10" type="noConversion"/>
  </si>
  <si>
    <t>2-5-应急</t>
    <phoneticPr fontId="10" type="noConversion"/>
  </si>
  <si>
    <t>2-6-应急</t>
    <phoneticPr fontId="10" type="noConversion"/>
  </si>
  <si>
    <t>2-8-应急</t>
    <phoneticPr fontId="10" type="noConversion"/>
  </si>
  <si>
    <t>3-1-应急</t>
    <phoneticPr fontId="10" type="noConversion"/>
  </si>
  <si>
    <t>3-3-应急</t>
    <phoneticPr fontId="10" type="noConversion"/>
  </si>
  <si>
    <t>3-4-应急</t>
    <phoneticPr fontId="10" type="noConversion"/>
  </si>
  <si>
    <t>3-5-应急</t>
    <phoneticPr fontId="10" type="noConversion"/>
  </si>
  <si>
    <t>3-6-应急</t>
    <phoneticPr fontId="10" type="noConversion"/>
  </si>
  <si>
    <t>3-8-应急</t>
    <phoneticPr fontId="10" type="noConversion"/>
  </si>
  <si>
    <t>3-9-应急</t>
    <phoneticPr fontId="10" type="noConversion"/>
  </si>
  <si>
    <t>2-402</t>
    <phoneticPr fontId="10" type="noConversion"/>
  </si>
  <si>
    <t>2-4-公</t>
    <phoneticPr fontId="10" type="noConversion"/>
  </si>
  <si>
    <t>2-401</t>
    <phoneticPr fontId="10" type="noConversion"/>
  </si>
  <si>
    <t>1-9-公</t>
    <phoneticPr fontId="10" type="noConversion"/>
  </si>
  <si>
    <t>1-9-总</t>
    <phoneticPr fontId="10" type="noConversion"/>
  </si>
  <si>
    <t>2-2-公</t>
    <phoneticPr fontId="10" type="noConversion"/>
  </si>
  <si>
    <t>2-2-应急</t>
    <phoneticPr fontId="10" type="noConversion"/>
  </si>
  <si>
    <t>2-2-总</t>
    <phoneticPr fontId="10" type="noConversion"/>
  </si>
  <si>
    <t>2-5-公</t>
    <phoneticPr fontId="10" type="noConversion"/>
  </si>
  <si>
    <t>2-5-总</t>
    <phoneticPr fontId="10" type="noConversion"/>
  </si>
  <si>
    <t>2-7-公</t>
    <phoneticPr fontId="10" type="noConversion"/>
  </si>
  <si>
    <t>2-7-应急</t>
    <phoneticPr fontId="10" type="noConversion"/>
  </si>
  <si>
    <t>2-7-总</t>
    <phoneticPr fontId="10" type="noConversion"/>
  </si>
  <si>
    <t>3-7-应急</t>
    <phoneticPr fontId="10" type="noConversion"/>
  </si>
  <si>
    <t>3-7-公</t>
    <phoneticPr fontId="10" type="noConversion"/>
  </si>
  <si>
    <t>3-7-总</t>
    <phoneticPr fontId="10" type="noConversion"/>
  </si>
  <si>
    <t>2-8-公</t>
    <phoneticPr fontId="10" type="noConversion"/>
  </si>
  <si>
    <t>2-8-总</t>
    <phoneticPr fontId="10" type="noConversion"/>
  </si>
  <si>
    <t>2-9-公</t>
    <phoneticPr fontId="10" type="noConversion"/>
  </si>
  <si>
    <t>2-9-应急</t>
    <phoneticPr fontId="10" type="noConversion"/>
  </si>
  <si>
    <t>2-9-总</t>
    <phoneticPr fontId="10" type="noConversion"/>
  </si>
  <si>
    <t>3-2-应急</t>
    <phoneticPr fontId="10" type="noConversion"/>
  </si>
  <si>
    <t>3-2-公</t>
    <phoneticPr fontId="10" type="noConversion"/>
  </si>
  <si>
    <t>3-2-总</t>
    <phoneticPr fontId="10" type="noConversion"/>
  </si>
  <si>
    <t>3-1-公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</si>
</sst>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#,##0_ "/>
    <numFmt numFmtId="178" formatCode="yyyy/m/d;@"/>
    <numFmt numFmtId="179" formatCode="&quot;￥&quot;#,##0.00;&quot;￥&quot;\-#,##0.00"/>
    <numFmt numFmtId="180" formatCode="#,##0.00_ "/>
  </numFmts>
  <fonts count="13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9"/>
      <name val="宋体"/>
      <family val="3"/>
      <charset val="134"/>
      <scheme val="minor"/>
    </font>
    <font>
      <sz val="10"/>
      <color theme="1"/>
      <name val="Microsoft YaHei"/>
      <family val="2"/>
      <charset val="134"/>
    </font>
    <font>
      <sz val="11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2" borderId="0" xfId="0" applyFill="1">
      <alignment vertical="center"/>
    </xf>
    <xf numFmtId="0" fontId="2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7" fontId="8" fillId="0" borderId="0" xfId="0" applyNumberFormat="1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 wrapText="1"/>
    </xf>
    <xf numFmtId="178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178" fontId="11" fillId="0" borderId="0" xfId="0" applyNumberFormat="1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3" borderId="0" xfId="0" applyFont="1" applyFill="1" applyAlignment="1">
      <alignment horizontal="center" vertical="center" wrapText="1"/>
    </xf>
    <xf numFmtId="177" fontId="8" fillId="3" borderId="0" xfId="0" applyNumberFormat="1" applyFont="1" applyFill="1" applyAlignment="1">
      <alignment horizontal="center" vertical="center" wrapText="1"/>
    </xf>
    <xf numFmtId="176" fontId="8" fillId="3" borderId="0" xfId="0" applyNumberFormat="1" applyFont="1" applyFill="1" applyAlignment="1">
      <alignment horizontal="center" vertical="center" wrapText="1"/>
    </xf>
    <xf numFmtId="178" fontId="8" fillId="3" borderId="0" xfId="0" applyNumberFormat="1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0" fillId="3" borderId="0" xfId="0" applyFill="1">
      <alignment vertical="center"/>
    </xf>
    <xf numFmtId="0" fontId="11" fillId="3" borderId="0" xfId="0" applyFont="1" applyFill="1" applyAlignment="1">
      <alignment horizontal="center" vertical="center"/>
    </xf>
    <xf numFmtId="177" fontId="11" fillId="3" borderId="0" xfId="0" applyNumberFormat="1" applyFont="1" applyFill="1" applyAlignment="1">
      <alignment horizontal="center" vertical="center"/>
    </xf>
    <xf numFmtId="178" fontId="11" fillId="3" borderId="0" xfId="0" applyNumberFormat="1" applyFont="1" applyFill="1">
      <alignment vertical="center"/>
    </xf>
    <xf numFmtId="0" fontId="11" fillId="3" borderId="0" xfId="0" applyFont="1" applyFill="1">
      <alignment vertical="center"/>
    </xf>
    <xf numFmtId="0" fontId="11" fillId="11" borderId="0" xfId="0" applyFont="1" applyFill="1" applyAlignment="1">
      <alignment horizontal="center" vertical="center"/>
    </xf>
    <xf numFmtId="177" fontId="11" fillId="11" borderId="0" xfId="0" applyNumberFormat="1" applyFont="1" applyFill="1" applyAlignment="1">
      <alignment horizontal="center" vertical="center"/>
    </xf>
    <xf numFmtId="180" fontId="11" fillId="11" borderId="0" xfId="0" applyNumberFormat="1" applyFont="1" applyFill="1" applyAlignment="1">
      <alignment horizontal="center" vertical="center"/>
    </xf>
    <xf numFmtId="178" fontId="11" fillId="11" borderId="0" xfId="0" applyNumberFormat="1" applyFont="1" applyFill="1">
      <alignment vertical="center"/>
    </xf>
    <xf numFmtId="0" fontId="11" fillId="11" borderId="0" xfId="0" applyFont="1" applyFill="1">
      <alignment vertical="center"/>
    </xf>
    <xf numFmtId="0" fontId="0" fillId="11" borderId="0" xfId="0" applyFill="1">
      <alignment vertical="center"/>
    </xf>
    <xf numFmtId="179" fontId="11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58">
    <dxf>
      <numFmt numFmtId="0" formatCode="General"/>
    </dxf>
    <dxf>
      <numFmt numFmtId="0" formatCode="General"/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numFmt numFmtId="178" formatCode="yyyy/m/d;@"/>
      <fill>
        <patternFill patternType="none">
          <fgColor indexed="64"/>
          <bgColor auto="1"/>
        </patternFill>
      </fill>
    </dxf>
    <dxf>
      <font>
        <sz val="10"/>
        <name val="Microsoft YaHei"/>
        <scheme val="none"/>
      </font>
      <numFmt numFmtId="179" formatCode="&quot;￥&quot;#,##0.00;&quot;￥&quot;\-#,##0.00"/>
      <fill>
        <patternFill patternType="none">
          <fgColor indexed="64"/>
          <bgColor auto="1"/>
        </patternFill>
      </fill>
      <alignment horizontal="center"/>
    </dxf>
    <dxf>
      <font>
        <sz val="10"/>
        <name val="Microsoft YaHei"/>
        <scheme val="none"/>
      </font>
      <numFmt numFmtId="177" formatCode="#,##0_ "/>
      <fill>
        <patternFill patternType="none">
          <fgColor indexed="64"/>
          <bgColor auto="1"/>
        </patternFill>
      </fill>
      <alignment horizontal="center"/>
    </dxf>
    <dxf>
      <font>
        <sz val="10"/>
        <name val="Microsoft YaHei"/>
        <scheme val="none"/>
      </font>
      <fill>
        <patternFill patternType="none">
          <fgColor indexed="64"/>
          <bgColor auto="1"/>
        </patternFill>
      </fill>
      <alignment horizontal="center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6A99BD9-BB88-46E4-B2F6-B85B31C14B75}" autoFormatId="16" applyNumberFormats="0" applyBorderFormats="0" applyFontFormats="0" applyPatternFormats="0" applyAlignmentFormats="0" applyWidthHeightFormats="0">
  <queryTableRefresh nextId="17">
    <queryTableFields count="16">
      <queryTableField id="1" name="门牌号" tableColumnId="1"/>
      <queryTableField id="2" name="单位名称" tableColumnId="2"/>
      <queryTableField id="3" name="倍率" tableColumnId="3"/>
      <queryTableField id="4" name="表底" tableColumnId="4"/>
      <queryTableField id="5" name="10-度数" tableColumnId="5"/>
      <queryTableField id="6" name="10-空调" tableColumnId="6"/>
      <queryTableField id="7" name="10-用电量" tableColumnId="7"/>
      <queryTableField id="8" name="10-总用电量" tableColumnId="8"/>
      <queryTableField id="9" name="11-度数" tableColumnId="9"/>
      <queryTableField id="10" name="11-空调" tableColumnId="10"/>
      <queryTableField id="11" name="11-用电量" tableColumnId="11"/>
      <queryTableField id="12" name="11-总用电量" tableColumnId="12"/>
      <queryTableField id="13" name="12-度数" tableColumnId="13"/>
      <queryTableField id="14" name="12-空调" tableColumnId="14"/>
      <queryTableField id="15" name="12-用电量" tableColumnId="15"/>
      <queryTableField id="16" name="12-总用电量" tableColumnId="1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2A69C7-106E-4CEB-B60A-85C172F9F75D}" name="公司信息" displayName="公司信息" ref="A1:D30" totalsRowShown="0">
  <autoFilter ref="A1:D30" xr:uid="{C82A69C7-106E-4CEB-B60A-85C172F9F75D}"/>
  <sortState xmlns:xlrd2="http://schemas.microsoft.com/office/spreadsheetml/2017/richdata2" ref="A2:D30">
    <sortCondition ref="A1:A30"/>
  </sortState>
  <tableColumns count="4">
    <tableColumn id="1" xr3:uid="{CBCA1203-D67A-491C-A32C-5625DC3177F9}" name="门牌号" dataDxfId="57"/>
    <tableColumn id="2" xr3:uid="{130C121D-560C-4741-B634-9852D7E75399}" name="单位名称" dataDxfId="56"/>
    <tableColumn id="3" xr3:uid="{21A35073-7C74-4FA5-8022-567D04C514F1}" name="联系人" dataDxfId="55"/>
    <tableColumn id="4" xr3:uid="{6EB93634-CFCD-4396-AAD0-451FA0D476FF}" name="电话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电量统计表" displayName="电量统计表" ref="A3:AY132" totalsRowShown="0" headerRowDxfId="54" dataDxfId="53">
  <autoFilter ref="A3:AY132" xr:uid="{00000000-0009-0000-0100-000002000000}"/>
  <sortState xmlns:xlrd2="http://schemas.microsoft.com/office/spreadsheetml/2017/richdata2" ref="A4:AY132">
    <sortCondition ref="A3:A132"/>
  </sortState>
  <tableColumns count="51">
    <tableColumn id="1" xr3:uid="{00000000-0010-0000-0000-000001000000}" name="门牌号" dataDxfId="52"/>
    <tableColumn id="2" xr3:uid="{00000000-0010-0000-0000-000002000000}" name="倍率" dataDxfId="51"/>
    <tableColumn id="3" xr3:uid="{00000000-0010-0000-0000-000003000000}" name="表底" dataDxfId="50"/>
    <tableColumn id="4" xr3:uid="{00000000-0010-0000-0000-000004000000}" name="列4" dataDxfId="49"/>
    <tableColumn id="5" xr3:uid="{00000000-0010-0000-0000-000005000000}" name="列5" dataDxfId="48"/>
    <tableColumn id="6" xr3:uid="{00000000-0010-0000-0000-000006000000}" name="列6" dataDxfId="47"/>
    <tableColumn id="7" xr3:uid="{00000000-0010-0000-0000-000007000000}" name="列7" dataDxfId="46"/>
    <tableColumn id="8" xr3:uid="{00000000-0010-0000-0000-000008000000}" name="列8" dataDxfId="45"/>
    <tableColumn id="9" xr3:uid="{00000000-0010-0000-0000-000009000000}" name="列9" dataDxfId="44"/>
    <tableColumn id="10" xr3:uid="{00000000-0010-0000-0000-00000A000000}" name="列10" dataDxfId="43"/>
    <tableColumn id="11" xr3:uid="{00000000-0010-0000-0000-00000B000000}" name="列11" dataDxfId="42"/>
    <tableColumn id="12" xr3:uid="{00000000-0010-0000-0000-00000C000000}" name="列12" dataDxfId="41"/>
    <tableColumn id="13" xr3:uid="{00000000-0010-0000-0000-00000D000000}" name="列13" dataDxfId="40"/>
    <tableColumn id="14" xr3:uid="{00000000-0010-0000-0000-00000E000000}" name="列14" dataDxfId="39"/>
    <tableColumn id="15" xr3:uid="{00000000-0010-0000-0000-00000F000000}" name="列15" dataDxfId="38"/>
    <tableColumn id="16" xr3:uid="{00000000-0010-0000-0000-000010000000}" name="列16" dataDxfId="37"/>
    <tableColumn id="17" xr3:uid="{00000000-0010-0000-0000-000011000000}" name="列17" dataDxfId="36"/>
    <tableColumn id="18" xr3:uid="{00000000-0010-0000-0000-000012000000}" name="列18" dataDxfId="35"/>
    <tableColumn id="19" xr3:uid="{00000000-0010-0000-0000-000013000000}" name="列19" dataDxfId="34"/>
    <tableColumn id="20" xr3:uid="{00000000-0010-0000-0000-000014000000}" name="列20" dataDxfId="33"/>
    <tableColumn id="21" xr3:uid="{00000000-0010-0000-0000-000015000000}" name="列21" dataDxfId="32"/>
    <tableColumn id="22" xr3:uid="{00000000-0010-0000-0000-000016000000}" name="列22" dataDxfId="31"/>
    <tableColumn id="23" xr3:uid="{00000000-0010-0000-0000-000017000000}" name="列23" dataDxfId="30"/>
    <tableColumn id="24" xr3:uid="{00000000-0010-0000-0000-000018000000}" name="列24" dataDxfId="29"/>
    <tableColumn id="25" xr3:uid="{00000000-0010-0000-0000-000019000000}" name="列25" dataDxfId="28"/>
    <tableColumn id="26" xr3:uid="{00000000-0010-0000-0000-00001A000000}" name="列26" dataDxfId="27"/>
    <tableColumn id="27" xr3:uid="{00000000-0010-0000-0000-00001B000000}" name="列27" dataDxfId="26"/>
    <tableColumn id="28" xr3:uid="{00000000-0010-0000-0000-00001C000000}" name="列28" dataDxfId="25"/>
    <tableColumn id="29" xr3:uid="{00000000-0010-0000-0000-00001D000000}" name="列29" dataDxfId="24"/>
    <tableColumn id="30" xr3:uid="{00000000-0010-0000-0000-00001E000000}" name="列30" dataDxfId="23"/>
    <tableColumn id="31" xr3:uid="{00000000-0010-0000-0000-00001F000000}" name="列31" dataDxfId="22"/>
    <tableColumn id="32" xr3:uid="{00000000-0010-0000-0000-000020000000}" name="8-度数" dataDxfId="21"/>
    <tableColumn id="33" xr3:uid="{00000000-0010-0000-0000-000021000000}" name="8-空调" dataDxfId="20"/>
    <tableColumn id="34" xr3:uid="{00000000-0010-0000-0000-000022000000}" name="8-用电量" dataDxfId="19"/>
    <tableColumn id="35" xr3:uid="{00000000-0010-0000-0000-000023000000}" name="8-总用电量" dataDxfId="18"/>
    <tableColumn id="36" xr3:uid="{00000000-0010-0000-0000-000024000000}" name="9-度数" dataDxfId="17"/>
    <tableColumn id="37" xr3:uid="{00000000-0010-0000-0000-000025000000}" name="9-空调" dataDxfId="16"/>
    <tableColumn id="38" xr3:uid="{00000000-0010-0000-0000-000026000000}" name="9-用电量" dataDxfId="15">
      <calculatedColumnFormula>IF(AJ4="","",IF(AF4="",(AJ4-C4)*B4,(AJ4-AF4)*B4))</calculatedColumnFormula>
    </tableColumn>
    <tableColumn id="39" xr3:uid="{00000000-0010-0000-0000-000027000000}" name="9-总用电量" dataDxfId="14">
      <calculatedColumnFormula>IF(AL4="","",AK4+AL4)</calculatedColumnFormula>
    </tableColumn>
    <tableColumn id="40" xr3:uid="{00000000-0010-0000-0000-000028000000}" name="10-度数" dataDxfId="13"/>
    <tableColumn id="41" xr3:uid="{00000000-0010-0000-0000-000029000000}" name="10-空调" dataDxfId="12"/>
    <tableColumn id="42" xr3:uid="{00000000-0010-0000-0000-00002A000000}" name="10-用电量" dataDxfId="11">
      <calculatedColumnFormula>IF(AN4="","",IF(AJ4="",(AN4-C4)*B4,(AN4-AJ4)*B4))</calculatedColumnFormula>
    </tableColumn>
    <tableColumn id="43" xr3:uid="{00000000-0010-0000-0000-00002B000000}" name="10-总用电量" dataDxfId="10">
      <calculatedColumnFormula>IF(AP4="","",AP4+AO4)</calculatedColumnFormula>
    </tableColumn>
    <tableColumn id="44" xr3:uid="{00000000-0010-0000-0000-00002C000000}" name="11-度数" dataDxfId="9"/>
    <tableColumn id="45" xr3:uid="{00000000-0010-0000-0000-00002D000000}" name="11-空调" dataDxfId="8"/>
    <tableColumn id="46" xr3:uid="{00000000-0010-0000-0000-00002E000000}" name="11-用电量" dataDxfId="7">
      <calculatedColumnFormula>IF(AR4="","",(AR4-AN4)*B4)</calculatedColumnFormula>
    </tableColumn>
    <tableColumn id="47" xr3:uid="{00000000-0010-0000-0000-00002F000000}" name="11-总用电量" dataDxfId="6">
      <calculatedColumnFormula>IF(AR4="","",AS4+AT4)</calculatedColumnFormula>
    </tableColumn>
    <tableColumn id="48" xr3:uid="{00000000-0010-0000-0000-000030000000}" name="12-度数" dataDxfId="5"/>
    <tableColumn id="49" xr3:uid="{00000000-0010-0000-0000-000031000000}" name="12-空调" dataDxfId="4"/>
    <tableColumn id="50" xr3:uid="{00000000-0010-0000-0000-000032000000}" name="12-用电量" dataDxfId="3">
      <calculatedColumnFormula>IF(AV4="","",(AV4-AR4)*B4)</calculatedColumnFormula>
    </tableColumn>
    <tableColumn id="51" xr3:uid="{00000000-0010-0000-0000-000033000000}" name="12-总用电量" dataDxfId="2">
      <calculatedColumnFormula>IF(AV4="","",AW4+AX4)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65484-87DE-4D24-BF7D-9587BA1A7575}" name="综合信息" displayName="综合信息" ref="A1:P28" tableType="queryTable" totalsRowShown="0">
  <autoFilter ref="A1:P28" xr:uid="{78165484-87DE-4D24-BF7D-9587BA1A7575}"/>
  <tableColumns count="16">
    <tableColumn id="1" xr3:uid="{5D7665FB-E114-482C-84B6-CC1A69CE408E}" uniqueName="1" name="门牌号" queryTableFieldId="1" dataDxfId="1"/>
    <tableColumn id="2" xr3:uid="{8AA3A01E-4805-49C2-8C2D-B899AB6C349B}" uniqueName="2" name="单位名称" queryTableFieldId="2" dataDxfId="0"/>
    <tableColumn id="3" xr3:uid="{08E7C9F1-EE5A-42A7-9300-4B768FDE3525}" uniqueName="3" name="倍率" queryTableFieldId="3"/>
    <tableColumn id="4" xr3:uid="{94EE90D6-26AA-454F-BAB8-A50B71D6F3EB}" uniqueName="4" name="表底" queryTableFieldId="4"/>
    <tableColumn id="5" xr3:uid="{58D7F853-531E-4ED5-9213-10641393EB33}" uniqueName="5" name="10-度数" queryTableFieldId="5"/>
    <tableColumn id="6" xr3:uid="{EC4B3758-A6B4-4D3A-95C8-3E1B0998EA4F}" uniqueName="6" name="10-空调" queryTableFieldId="6"/>
    <tableColumn id="7" xr3:uid="{7FCCBE5B-2C76-4E27-A5B6-2403CEB5AE1D}" uniqueName="7" name="10-用电量" queryTableFieldId="7"/>
    <tableColumn id="8" xr3:uid="{045A6E5C-EDE1-42AA-9FC4-6F69F7CC2C21}" uniqueName="8" name="10-总用电量" queryTableFieldId="8"/>
    <tableColumn id="9" xr3:uid="{4102A429-AE39-47D8-8B2B-818F725A76F7}" uniqueName="9" name="11-度数" queryTableFieldId="9"/>
    <tableColumn id="10" xr3:uid="{AC3053AF-A398-457E-A460-67487A7962C7}" uniqueName="10" name="11-空调" queryTableFieldId="10"/>
    <tableColumn id="11" xr3:uid="{F76CF2A8-2A13-48CD-9FF7-D33BA7419D27}" uniqueName="11" name="11-用电量" queryTableFieldId="11"/>
    <tableColumn id="12" xr3:uid="{22E64617-F173-4995-93AD-4A75436CED88}" uniqueName="12" name="11-总用电量" queryTableFieldId="12"/>
    <tableColumn id="13" xr3:uid="{C7C0A2BF-E3F9-4487-813A-450FC1D6DD2D}" uniqueName="13" name="12-度数" queryTableFieldId="13"/>
    <tableColumn id="14" xr3:uid="{BF2361BE-B12D-4FC5-B8F4-8E5A4F7A46DB}" uniqueName="14" name="12-空调" queryTableFieldId="14"/>
    <tableColumn id="15" xr3:uid="{46055A69-E1EC-497C-B7DC-5F48D03F3DE2}" uniqueName="15" name="12-用电量" queryTableFieldId="15"/>
    <tableColumn id="16" xr3:uid="{80EEEBC4-329A-4251-8804-76C622099FDB}" uniqueName="16" name="12-总用电量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D7F6-12DF-4C59-86D8-0778086E2804}">
  <dimension ref="A1:D30"/>
  <sheetViews>
    <sheetView tabSelected="1" workbookViewId="0">
      <selection activeCell="G14" sqref="G14"/>
    </sheetView>
  </sheetViews>
  <sheetFormatPr baseColWidth="10" defaultColWidth="8.83203125" defaultRowHeight="14"/>
  <cols>
    <col min="1" max="1" width="14.5" customWidth="1"/>
    <col min="2" max="2" width="39.1640625" customWidth="1"/>
    <col min="3" max="3" width="14.33203125" customWidth="1"/>
    <col min="4" max="4" width="19.33203125" customWidth="1"/>
  </cols>
  <sheetData>
    <row r="1" spans="1:4" ht="22.5" customHeight="1">
      <c r="A1" t="s">
        <v>147</v>
      </c>
      <c r="B1" t="s">
        <v>215</v>
      </c>
      <c r="C1" t="s">
        <v>216</v>
      </c>
      <c r="D1" t="s">
        <v>217</v>
      </c>
    </row>
    <row r="2" spans="1:4" ht="22.5" customHeight="1">
      <c r="A2" t="s">
        <v>50</v>
      </c>
      <c r="B2" t="s">
        <v>184</v>
      </c>
      <c r="C2" t="s">
        <v>185</v>
      </c>
      <c r="D2">
        <v>13911829651</v>
      </c>
    </row>
    <row r="3" spans="1:4" ht="22.5" customHeight="1">
      <c r="A3" t="s">
        <v>54</v>
      </c>
      <c r="B3" t="s">
        <v>186</v>
      </c>
    </row>
    <row r="4" spans="1:4" ht="22.5" customHeight="1">
      <c r="A4" t="s">
        <v>55</v>
      </c>
      <c r="B4" t="s">
        <v>187</v>
      </c>
    </row>
    <row r="5" spans="1:4" ht="22.5" customHeight="1">
      <c r="A5" t="s">
        <v>58</v>
      </c>
      <c r="B5" t="s">
        <v>188</v>
      </c>
      <c r="C5" t="s">
        <v>189</v>
      </c>
      <c r="D5">
        <v>18201129695</v>
      </c>
    </row>
    <row r="6" spans="1:4" ht="22.5" customHeight="1">
      <c r="A6" t="s">
        <v>62</v>
      </c>
      <c r="B6" t="s">
        <v>190</v>
      </c>
      <c r="C6" t="s">
        <v>191</v>
      </c>
      <c r="D6">
        <v>13581798175</v>
      </c>
    </row>
    <row r="7" spans="1:4" ht="22.5" customHeight="1">
      <c r="A7" t="s">
        <v>218</v>
      </c>
      <c r="B7" t="s">
        <v>219</v>
      </c>
      <c r="C7" t="s">
        <v>220</v>
      </c>
      <c r="D7">
        <v>13964391566</v>
      </c>
    </row>
    <row r="8" spans="1:4" ht="22.5" customHeight="1">
      <c r="A8" t="s">
        <v>221</v>
      </c>
      <c r="B8" t="s">
        <v>222</v>
      </c>
      <c r="C8" t="s">
        <v>223</v>
      </c>
      <c r="D8">
        <v>13914761826</v>
      </c>
    </row>
    <row r="9" spans="1:4" ht="22.5" customHeight="1">
      <c r="A9" t="s">
        <v>224</v>
      </c>
      <c r="B9" t="s">
        <v>225</v>
      </c>
      <c r="C9" t="s">
        <v>226</v>
      </c>
      <c r="D9">
        <v>18097478705</v>
      </c>
    </row>
    <row r="10" spans="1:4" ht="22.5" customHeight="1">
      <c r="A10" t="s">
        <v>66</v>
      </c>
      <c r="B10" t="s">
        <v>192</v>
      </c>
      <c r="C10" t="s">
        <v>193</v>
      </c>
      <c r="D10">
        <v>13901225383</v>
      </c>
    </row>
    <row r="11" spans="1:4" ht="22.5" customHeight="1">
      <c r="A11" t="s">
        <v>67</v>
      </c>
      <c r="B11" t="s">
        <v>194</v>
      </c>
      <c r="C11" t="s">
        <v>195</v>
      </c>
      <c r="D11">
        <v>15313238663</v>
      </c>
    </row>
    <row r="12" spans="1:4" ht="22.5" customHeight="1">
      <c r="A12" t="s">
        <v>70</v>
      </c>
      <c r="B12" t="s">
        <v>196</v>
      </c>
      <c r="C12" t="s">
        <v>197</v>
      </c>
      <c r="D12">
        <v>18515332857</v>
      </c>
    </row>
    <row r="13" spans="1:4" ht="22.5" customHeight="1">
      <c r="A13" t="s">
        <v>71</v>
      </c>
      <c r="B13" t="s">
        <v>198</v>
      </c>
      <c r="C13" t="s">
        <v>199</v>
      </c>
      <c r="D13">
        <v>15101160670</v>
      </c>
    </row>
    <row r="14" spans="1:4" ht="22.5" customHeight="1">
      <c r="A14" t="s">
        <v>72</v>
      </c>
      <c r="B14" t="s">
        <v>200</v>
      </c>
      <c r="C14" t="s">
        <v>201</v>
      </c>
      <c r="D14">
        <v>13938500309</v>
      </c>
    </row>
    <row r="15" spans="1:4" ht="22.5" customHeight="1">
      <c r="A15" t="s">
        <v>73</v>
      </c>
      <c r="B15" t="s">
        <v>202</v>
      </c>
      <c r="C15" t="s">
        <v>203</v>
      </c>
      <c r="D15">
        <v>13701187767</v>
      </c>
    </row>
    <row r="16" spans="1:4" ht="22.5" customHeight="1">
      <c r="A16" s="45" t="s">
        <v>235</v>
      </c>
    </row>
    <row r="17" spans="1:4" ht="22.5" customHeight="1">
      <c r="A17" t="s">
        <v>82</v>
      </c>
      <c r="B17" t="s">
        <v>204</v>
      </c>
      <c r="C17" t="s">
        <v>205</v>
      </c>
      <c r="D17">
        <v>18210155451</v>
      </c>
    </row>
    <row r="18" spans="1:4" ht="22.5" customHeight="1">
      <c r="A18" t="s">
        <v>83</v>
      </c>
      <c r="B18" t="s">
        <v>206</v>
      </c>
      <c r="C18" t="s">
        <v>207</v>
      </c>
      <c r="D18">
        <v>15001251770</v>
      </c>
    </row>
    <row r="19" spans="1:4" ht="22.5" customHeight="1">
      <c r="A19" s="45" t="s">
        <v>236</v>
      </c>
    </row>
    <row r="20" spans="1:4" ht="22.5" customHeight="1">
      <c r="A20" t="s">
        <v>91</v>
      </c>
      <c r="B20" t="s">
        <v>208</v>
      </c>
    </row>
    <row r="21" spans="1:4" ht="22.5" customHeight="1">
      <c r="A21" t="s">
        <v>92</v>
      </c>
      <c r="B21" t="s">
        <v>208</v>
      </c>
    </row>
    <row r="22" spans="1:4" ht="22.5" customHeight="1">
      <c r="A22" t="s">
        <v>93</v>
      </c>
      <c r="B22" t="s">
        <v>208</v>
      </c>
    </row>
    <row r="23" spans="1:4" ht="22.5" customHeight="1">
      <c r="A23" t="s">
        <v>94</v>
      </c>
      <c r="B23" t="s">
        <v>208</v>
      </c>
    </row>
    <row r="24" spans="1:4" ht="22.5" customHeight="1">
      <c r="A24" t="s">
        <v>95</v>
      </c>
      <c r="B24" t="s">
        <v>208</v>
      </c>
    </row>
    <row r="25" spans="1:4" ht="22.5" customHeight="1">
      <c r="A25" t="s">
        <v>96</v>
      </c>
      <c r="B25" t="s">
        <v>208</v>
      </c>
    </row>
    <row r="26" spans="1:4" ht="22.5" customHeight="1">
      <c r="A26" t="s">
        <v>97</v>
      </c>
      <c r="B26" t="s">
        <v>208</v>
      </c>
    </row>
    <row r="27" spans="1:4" ht="22.5" customHeight="1">
      <c r="A27" t="s">
        <v>98</v>
      </c>
      <c r="B27" t="s">
        <v>208</v>
      </c>
    </row>
    <row r="28" spans="1:4" ht="22.5" customHeight="1">
      <c r="A28" t="s">
        <v>99</v>
      </c>
      <c r="B28" t="s">
        <v>209</v>
      </c>
      <c r="C28" t="s">
        <v>210</v>
      </c>
      <c r="D28">
        <v>18611509924</v>
      </c>
    </row>
    <row r="29" spans="1:4">
      <c r="A29" t="s">
        <v>100</v>
      </c>
      <c r="B29" t="s">
        <v>211</v>
      </c>
      <c r="C29" t="s">
        <v>212</v>
      </c>
      <c r="D29">
        <v>18600573733</v>
      </c>
    </row>
    <row r="30" spans="1:4">
      <c r="A30" t="s">
        <v>101</v>
      </c>
      <c r="B30" t="s">
        <v>213</v>
      </c>
      <c r="C30" t="s">
        <v>214</v>
      </c>
      <c r="D30">
        <v>18513990043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2"/>
  <sheetViews>
    <sheetView workbookViewId="0">
      <pane xSplit="31" ySplit="2" topLeftCell="AI58" activePane="bottomRight" state="frozen"/>
      <selection pane="topRight"/>
      <selection pane="bottomLeft"/>
      <selection pane="bottomRight" activeCell="C69" sqref="C69"/>
    </sheetView>
  </sheetViews>
  <sheetFormatPr baseColWidth="10" defaultColWidth="9" defaultRowHeight="14"/>
  <cols>
    <col min="1" max="1" width="13.6640625" customWidth="1"/>
    <col min="2" max="2" width="7.83203125" customWidth="1"/>
    <col min="3" max="3" width="12.33203125" style="31" customWidth="1"/>
    <col min="4" max="5" width="8.6640625" hidden="1" customWidth="1"/>
    <col min="6" max="6" width="10.5" hidden="1" customWidth="1"/>
    <col min="7" max="7" width="12.33203125" hidden="1" customWidth="1"/>
    <col min="8" max="9" width="8.6640625" hidden="1" customWidth="1"/>
    <col min="10" max="10" width="10.5" hidden="1" customWidth="1"/>
    <col min="11" max="11" width="12.33203125" hidden="1" customWidth="1"/>
    <col min="12" max="13" width="8.83203125" hidden="1" customWidth="1"/>
    <col min="14" max="14" width="10.5" hidden="1" customWidth="1"/>
    <col min="15" max="15" width="12.33203125" hidden="1" customWidth="1"/>
    <col min="16" max="17" width="8.83203125" hidden="1" customWidth="1"/>
    <col min="18" max="18" width="10.5" hidden="1" customWidth="1"/>
    <col min="19" max="19" width="12.33203125" hidden="1" customWidth="1"/>
    <col min="20" max="21" width="8.83203125" hidden="1" customWidth="1"/>
    <col min="22" max="22" width="10.5" hidden="1" customWidth="1"/>
    <col min="23" max="23" width="12.33203125" hidden="1" customWidth="1"/>
    <col min="24" max="25" width="8.83203125" hidden="1" customWidth="1"/>
    <col min="26" max="26" width="10.5" hidden="1" customWidth="1"/>
    <col min="27" max="27" width="12.33203125" hidden="1" customWidth="1"/>
    <col min="28" max="29" width="8.83203125" hidden="1" customWidth="1"/>
    <col min="30" max="30" width="10.5" hidden="1" customWidth="1"/>
    <col min="31" max="31" width="12.33203125" hidden="1" customWidth="1"/>
    <col min="32" max="32" width="11.33203125" customWidth="1"/>
    <col min="33" max="33" width="8.83203125" customWidth="1"/>
    <col min="34" max="34" width="10.5" customWidth="1"/>
    <col min="35" max="35" width="12.33203125" customWidth="1"/>
    <col min="36" max="38" width="11.33203125" customWidth="1"/>
    <col min="39" max="39" width="12.33203125" customWidth="1"/>
    <col min="40" max="40" width="11.83203125" customWidth="1"/>
    <col min="41" max="42" width="11.33203125" customWidth="1"/>
    <col min="43" max="43" width="12.33203125" customWidth="1"/>
    <col min="44" max="45" width="8.83203125" customWidth="1"/>
    <col min="46" max="46" width="10.5" customWidth="1"/>
    <col min="47" max="47" width="12.33203125" customWidth="1"/>
    <col min="48" max="49" width="8.83203125" customWidth="1"/>
    <col min="50" max="50" width="10.5" customWidth="1"/>
    <col min="51" max="51" width="12.33203125" customWidth="1"/>
  </cols>
  <sheetData>
    <row r="1" spans="1:51" ht="17">
      <c r="A1" s="64" t="s">
        <v>0</v>
      </c>
      <c r="B1" s="64" t="s">
        <v>1</v>
      </c>
      <c r="C1" s="65" t="s">
        <v>2</v>
      </c>
      <c r="D1" s="64" t="s">
        <v>3</v>
      </c>
      <c r="E1" s="64"/>
      <c r="F1" s="64"/>
      <c r="G1" s="64"/>
      <c r="H1" s="64" t="s">
        <v>4</v>
      </c>
      <c r="I1" s="64"/>
      <c r="J1" s="64"/>
      <c r="K1" s="64"/>
      <c r="L1" s="64" t="s">
        <v>5</v>
      </c>
      <c r="M1" s="64"/>
      <c r="N1" s="64"/>
      <c r="O1" s="64"/>
      <c r="P1" s="64" t="s">
        <v>6</v>
      </c>
      <c r="Q1" s="64"/>
      <c r="R1" s="64"/>
      <c r="S1" s="64"/>
      <c r="T1" s="64" t="s">
        <v>7</v>
      </c>
      <c r="U1" s="64"/>
      <c r="V1" s="64"/>
      <c r="W1" s="64"/>
      <c r="X1" s="64" t="s">
        <v>8</v>
      </c>
      <c r="Y1" s="64"/>
      <c r="Z1" s="64"/>
      <c r="AA1" s="64"/>
      <c r="AB1" s="64" t="s">
        <v>9</v>
      </c>
      <c r="AC1" s="64"/>
      <c r="AD1" s="64"/>
      <c r="AE1" s="64"/>
      <c r="AF1" s="63" t="s">
        <v>10</v>
      </c>
      <c r="AG1" s="63"/>
      <c r="AH1" s="63"/>
      <c r="AI1" s="63"/>
      <c r="AJ1" s="63" t="s">
        <v>11</v>
      </c>
      <c r="AK1" s="63"/>
      <c r="AL1" s="63"/>
      <c r="AM1" s="63"/>
      <c r="AN1" s="63" t="s">
        <v>12</v>
      </c>
      <c r="AO1" s="63"/>
      <c r="AP1" s="63"/>
      <c r="AQ1" s="63"/>
      <c r="AR1" s="63" t="s">
        <v>13</v>
      </c>
      <c r="AS1" s="63"/>
      <c r="AT1" s="63"/>
      <c r="AU1" s="63"/>
      <c r="AV1" s="63" t="s">
        <v>14</v>
      </c>
      <c r="AW1" s="63"/>
      <c r="AX1" s="63"/>
      <c r="AY1" s="63"/>
    </row>
    <row r="2" spans="1:51" ht="18">
      <c r="A2" s="64"/>
      <c r="B2" s="64"/>
      <c r="C2" s="65"/>
      <c r="D2" s="32" t="s">
        <v>15</v>
      </c>
      <c r="E2" s="32" t="s">
        <v>16</v>
      </c>
      <c r="F2" s="32" t="s">
        <v>17</v>
      </c>
      <c r="G2" s="32" t="s">
        <v>18</v>
      </c>
      <c r="H2" s="32" t="s">
        <v>15</v>
      </c>
      <c r="I2" s="32" t="s">
        <v>16</v>
      </c>
      <c r="J2" s="32" t="s">
        <v>17</v>
      </c>
      <c r="K2" s="32" t="s">
        <v>18</v>
      </c>
      <c r="L2" s="32" t="s">
        <v>15</v>
      </c>
      <c r="M2" s="32" t="s">
        <v>16</v>
      </c>
      <c r="N2" s="32" t="s">
        <v>17</v>
      </c>
      <c r="O2" s="32" t="s">
        <v>18</v>
      </c>
      <c r="P2" s="32" t="s">
        <v>15</v>
      </c>
      <c r="Q2" s="32" t="s">
        <v>16</v>
      </c>
      <c r="R2" s="32" t="s">
        <v>17</v>
      </c>
      <c r="S2" s="32" t="s">
        <v>18</v>
      </c>
      <c r="T2" s="32" t="s">
        <v>15</v>
      </c>
      <c r="U2" s="32" t="s">
        <v>16</v>
      </c>
      <c r="V2" s="32" t="s">
        <v>17</v>
      </c>
      <c r="W2" s="32" t="s">
        <v>18</v>
      </c>
      <c r="X2" s="32" t="s">
        <v>15</v>
      </c>
      <c r="Y2" s="32" t="s">
        <v>16</v>
      </c>
      <c r="Z2" s="32" t="s">
        <v>17</v>
      </c>
      <c r="AA2" s="32" t="s">
        <v>18</v>
      </c>
      <c r="AB2" s="32" t="s">
        <v>15</v>
      </c>
      <c r="AC2" s="32" t="s">
        <v>16</v>
      </c>
      <c r="AD2" s="32" t="s">
        <v>17</v>
      </c>
      <c r="AE2" s="32" t="s">
        <v>18</v>
      </c>
      <c r="AF2" s="33" t="s">
        <v>15</v>
      </c>
      <c r="AG2" s="33" t="s">
        <v>16</v>
      </c>
      <c r="AH2" s="33" t="s">
        <v>17</v>
      </c>
      <c r="AI2" s="33" t="s">
        <v>18</v>
      </c>
      <c r="AJ2" s="33" t="s">
        <v>15</v>
      </c>
      <c r="AK2" s="33" t="s">
        <v>16</v>
      </c>
      <c r="AL2" s="33" t="s">
        <v>17</v>
      </c>
      <c r="AM2" s="33" t="s">
        <v>18</v>
      </c>
      <c r="AN2" s="33" t="s">
        <v>15</v>
      </c>
      <c r="AO2" s="33" t="s">
        <v>16</v>
      </c>
      <c r="AP2" s="33" t="s">
        <v>17</v>
      </c>
      <c r="AQ2" s="33" t="s">
        <v>18</v>
      </c>
      <c r="AR2" s="33" t="s">
        <v>15</v>
      </c>
      <c r="AS2" s="33" t="s">
        <v>16</v>
      </c>
      <c r="AT2" s="33" t="s">
        <v>17</v>
      </c>
      <c r="AU2" s="33" t="s">
        <v>18</v>
      </c>
      <c r="AV2" s="33" t="s">
        <v>15</v>
      </c>
      <c r="AW2" s="33" t="s">
        <v>16</v>
      </c>
      <c r="AX2" s="33" t="s">
        <v>17</v>
      </c>
      <c r="AY2" s="33" t="s">
        <v>18</v>
      </c>
    </row>
    <row r="3" spans="1:51" ht="22.5" customHeight="1">
      <c r="A3" s="32" t="s">
        <v>148</v>
      </c>
      <c r="B3" s="32" t="s">
        <v>149</v>
      </c>
      <c r="C3" s="34" t="s">
        <v>150</v>
      </c>
      <c r="D3" s="32" t="s">
        <v>19</v>
      </c>
      <c r="E3" s="32" t="s">
        <v>20</v>
      </c>
      <c r="F3" s="32" t="s">
        <v>21</v>
      </c>
      <c r="G3" s="32" t="s">
        <v>22</v>
      </c>
      <c r="H3" s="32" t="s">
        <v>23</v>
      </c>
      <c r="I3" s="32" t="s">
        <v>24</v>
      </c>
      <c r="J3" s="32" t="s">
        <v>25</v>
      </c>
      <c r="K3" s="32" t="s">
        <v>26</v>
      </c>
      <c r="L3" s="32" t="s">
        <v>27</v>
      </c>
      <c r="M3" s="32" t="s">
        <v>28</v>
      </c>
      <c r="N3" s="32" t="s">
        <v>29</v>
      </c>
      <c r="O3" s="32" t="s">
        <v>30</v>
      </c>
      <c r="P3" s="32" t="s">
        <v>31</v>
      </c>
      <c r="Q3" s="32" t="s">
        <v>32</v>
      </c>
      <c r="R3" s="32" t="s">
        <v>33</v>
      </c>
      <c r="S3" s="32" t="s">
        <v>34</v>
      </c>
      <c r="T3" s="32" t="s">
        <v>35</v>
      </c>
      <c r="U3" s="32" t="s">
        <v>36</v>
      </c>
      <c r="V3" s="32" t="s">
        <v>37</v>
      </c>
      <c r="W3" s="32" t="s">
        <v>38</v>
      </c>
      <c r="X3" s="32" t="s">
        <v>39</v>
      </c>
      <c r="Y3" s="32" t="s">
        <v>40</v>
      </c>
      <c r="Z3" s="32" t="s">
        <v>41</v>
      </c>
      <c r="AA3" s="32" t="s">
        <v>42</v>
      </c>
      <c r="AB3" s="32" t="s">
        <v>43</v>
      </c>
      <c r="AC3" s="32" t="s">
        <v>44</v>
      </c>
      <c r="AD3" s="32" t="s">
        <v>45</v>
      </c>
      <c r="AE3" s="32" t="s">
        <v>46</v>
      </c>
      <c r="AF3" s="32" t="s">
        <v>151</v>
      </c>
      <c r="AG3" s="32" t="s">
        <v>152</v>
      </c>
      <c r="AH3" s="32" t="s">
        <v>153</v>
      </c>
      <c r="AI3" s="32" t="s">
        <v>154</v>
      </c>
      <c r="AJ3" s="32" t="s">
        <v>155</v>
      </c>
      <c r="AK3" s="32" t="s">
        <v>156</v>
      </c>
      <c r="AL3" s="32" t="s">
        <v>157</v>
      </c>
      <c r="AM3" s="32" t="s">
        <v>158</v>
      </c>
      <c r="AN3" s="32" t="s">
        <v>160</v>
      </c>
      <c r="AO3" s="32" t="s">
        <v>162</v>
      </c>
      <c r="AP3" s="32" t="s">
        <v>164</v>
      </c>
      <c r="AQ3" s="32" t="s">
        <v>166</v>
      </c>
      <c r="AR3" s="32" t="s">
        <v>168</v>
      </c>
      <c r="AS3" s="32" t="s">
        <v>170</v>
      </c>
      <c r="AT3" s="32" t="s">
        <v>172</v>
      </c>
      <c r="AU3" s="32" t="s">
        <v>174</v>
      </c>
      <c r="AV3" s="32" t="s">
        <v>176</v>
      </c>
      <c r="AW3" s="32" t="s">
        <v>178</v>
      </c>
      <c r="AX3" s="32" t="s">
        <v>180</v>
      </c>
      <c r="AY3" s="32" t="s">
        <v>182</v>
      </c>
    </row>
    <row r="4" spans="1:51" ht="22.5" customHeight="1">
      <c r="A4" s="35" t="s">
        <v>47</v>
      </c>
      <c r="B4" s="36">
        <v>20</v>
      </c>
      <c r="C4" s="37"/>
      <c r="D4" s="38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9">
        <v>2131.2399999999998</v>
      </c>
      <c r="AG4" s="39"/>
      <c r="AH4" s="39"/>
      <c r="AI4" s="39"/>
      <c r="AJ4" s="39"/>
      <c r="AK4" s="39"/>
      <c r="AL4" s="35" t="str">
        <f t="shared" ref="AL4:AL19" si="0">IF(AJ4="","",IF(AF4="",(AJ4-C4)*B4,(AJ4-AF4)*B4))</f>
        <v/>
      </c>
      <c r="AM4" s="39"/>
      <c r="AN4" s="39">
        <v>2191.7399999999998</v>
      </c>
      <c r="AO4" s="39"/>
      <c r="AP4" s="39">
        <f t="shared" ref="AP4:AP25" si="1">IF(AN4="","",IF(AJ4="",(AN4-C4)*B4,(AN4-AJ4)*B4))</f>
        <v>43834.799999999996</v>
      </c>
      <c r="AQ4" s="39">
        <f t="shared" ref="AQ4:AQ25" si="2">IF(AP4="","",AP4+AO4)</f>
        <v>43834.799999999996</v>
      </c>
      <c r="AR4" s="39">
        <v>2222.16</v>
      </c>
      <c r="AS4" s="39"/>
      <c r="AT4" s="39">
        <f t="shared" ref="AT4:AT35" si="3">IF(AR4="","",(AR4-AN4)*B4)</f>
        <v>608.40000000000146</v>
      </c>
      <c r="AU4" s="39">
        <f t="shared" ref="AU4:AU35" si="4">IF(AR4="","",AS4+AT4)</f>
        <v>608.40000000000146</v>
      </c>
      <c r="AV4" s="39"/>
      <c r="AW4" s="39"/>
      <c r="AX4" s="39" t="str">
        <f t="shared" ref="AX4:AX35" si="5">IF(AV4="","",(AV4-AR4)*B4)</f>
        <v/>
      </c>
      <c r="AY4" s="39" t="str">
        <f t="shared" ref="AY4:AY35" si="6">IF(AV4="","",AW4+AX4)</f>
        <v/>
      </c>
    </row>
    <row r="5" spans="1:51" ht="22.5" customHeight="1">
      <c r="A5" s="35" t="s">
        <v>48</v>
      </c>
      <c r="B5" s="36">
        <v>20</v>
      </c>
      <c r="C5" s="37"/>
      <c r="D5" s="38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9">
        <v>608.91</v>
      </c>
      <c r="AG5" s="39"/>
      <c r="AH5" s="39"/>
      <c r="AI5" s="39"/>
      <c r="AJ5" s="39"/>
      <c r="AK5" s="39"/>
      <c r="AL5" s="35" t="str">
        <f t="shared" si="0"/>
        <v/>
      </c>
      <c r="AM5" s="39"/>
      <c r="AN5" s="39">
        <v>632.83000000000004</v>
      </c>
      <c r="AO5" s="39"/>
      <c r="AP5" s="39">
        <f t="shared" si="1"/>
        <v>12656.6</v>
      </c>
      <c r="AQ5" s="39">
        <f t="shared" si="2"/>
        <v>12656.6</v>
      </c>
      <c r="AR5" s="39">
        <v>651.26</v>
      </c>
      <c r="AS5" s="39">
        <v>1866.5</v>
      </c>
      <c r="AT5" s="39">
        <f t="shared" si="3"/>
        <v>368.599999999999</v>
      </c>
      <c r="AU5" s="39">
        <f t="shared" si="4"/>
        <v>2235.099999999999</v>
      </c>
      <c r="AV5" s="39"/>
      <c r="AW5" s="39"/>
      <c r="AX5" s="39" t="str">
        <f t="shared" si="5"/>
        <v/>
      </c>
      <c r="AY5" s="39" t="str">
        <f t="shared" si="6"/>
        <v/>
      </c>
    </row>
    <row r="6" spans="1:51" ht="22.5" customHeight="1">
      <c r="A6" s="35" t="s">
        <v>49</v>
      </c>
      <c r="B6" s="36">
        <v>20</v>
      </c>
      <c r="C6" s="37"/>
      <c r="D6" s="38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9">
        <v>51.21</v>
      </c>
      <c r="AG6" s="39"/>
      <c r="AH6" s="39"/>
      <c r="AI6" s="39"/>
      <c r="AJ6" s="39"/>
      <c r="AK6" s="39"/>
      <c r="AL6" s="35" t="str">
        <f t="shared" si="0"/>
        <v/>
      </c>
      <c r="AM6" s="39"/>
      <c r="AN6" s="39">
        <v>52.51</v>
      </c>
      <c r="AO6" s="39"/>
      <c r="AP6" s="39">
        <f t="shared" si="1"/>
        <v>1050.2</v>
      </c>
      <c r="AQ6" s="39">
        <f t="shared" si="2"/>
        <v>1050.2</v>
      </c>
      <c r="AR6" s="39">
        <v>53.3</v>
      </c>
      <c r="AS6" s="39"/>
      <c r="AT6" s="39">
        <f t="shared" si="3"/>
        <v>15.799999999999983</v>
      </c>
      <c r="AU6" s="39">
        <f t="shared" si="4"/>
        <v>15.799999999999983</v>
      </c>
      <c r="AV6" s="39"/>
      <c r="AW6" s="39"/>
      <c r="AX6" s="39" t="str">
        <f t="shared" si="5"/>
        <v/>
      </c>
      <c r="AY6" s="39" t="str">
        <f t="shared" si="6"/>
        <v/>
      </c>
    </row>
    <row r="7" spans="1:51" ht="22.5" customHeight="1">
      <c r="A7" s="40" t="s">
        <v>252</v>
      </c>
      <c r="B7" s="41">
        <v>1</v>
      </c>
      <c r="C7" s="42"/>
      <c r="D7" s="43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 t="str">
        <f t="shared" si="0"/>
        <v/>
      </c>
      <c r="AM7" s="44" t="str">
        <f>IF(AL7="","",AK7+AL7)</f>
        <v/>
      </c>
      <c r="AN7" s="44"/>
      <c r="AO7" s="44"/>
      <c r="AP7" s="44" t="str">
        <f t="shared" si="1"/>
        <v/>
      </c>
      <c r="AQ7" s="44" t="str">
        <f t="shared" si="2"/>
        <v/>
      </c>
      <c r="AR7" s="44">
        <v>1522.49</v>
      </c>
      <c r="AS7" s="44"/>
      <c r="AT7" s="44">
        <f t="shared" si="3"/>
        <v>1522.49</v>
      </c>
      <c r="AU7" s="44">
        <f t="shared" si="4"/>
        <v>1522.49</v>
      </c>
      <c r="AV7" s="44"/>
      <c r="AW7" s="44"/>
      <c r="AX7" s="44" t="str">
        <f t="shared" si="5"/>
        <v/>
      </c>
      <c r="AY7" s="44" t="str">
        <f t="shared" si="6"/>
        <v/>
      </c>
    </row>
    <row r="8" spans="1:51" ht="22.5" customHeight="1">
      <c r="A8" s="35" t="s">
        <v>233</v>
      </c>
      <c r="B8" s="36">
        <v>50</v>
      </c>
      <c r="C8" s="37">
        <v>1014.16</v>
      </c>
      <c r="D8" s="38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9"/>
      <c r="AG8" s="39"/>
      <c r="AH8" s="39"/>
      <c r="AI8" s="39"/>
      <c r="AJ8" s="39"/>
      <c r="AK8" s="39">
        <v>4405.5</v>
      </c>
      <c r="AL8" s="35" t="str">
        <f t="shared" si="0"/>
        <v/>
      </c>
      <c r="AM8" s="39"/>
      <c r="AN8" s="39">
        <v>1131.55</v>
      </c>
      <c r="AO8" s="39">
        <v>1217.6300000000001</v>
      </c>
      <c r="AP8" s="39">
        <f t="shared" si="1"/>
        <v>5869.4999999999991</v>
      </c>
      <c r="AQ8" s="39">
        <f t="shared" si="2"/>
        <v>7087.1299999999992</v>
      </c>
      <c r="AR8" s="39">
        <v>1151.1300000000001</v>
      </c>
      <c r="AS8" s="39"/>
      <c r="AT8" s="39">
        <f t="shared" si="3"/>
        <v>979.00000000000773</v>
      </c>
      <c r="AU8" s="39">
        <f t="shared" si="4"/>
        <v>979.00000000000773</v>
      </c>
      <c r="AV8" s="39"/>
      <c r="AW8" s="39"/>
      <c r="AX8" s="39" t="str">
        <f t="shared" si="5"/>
        <v/>
      </c>
      <c r="AY8" s="39" t="str">
        <f t="shared" si="6"/>
        <v/>
      </c>
    </row>
    <row r="9" spans="1:51" ht="22.5" customHeight="1">
      <c r="A9" s="35" t="s">
        <v>50</v>
      </c>
      <c r="B9" s="36">
        <v>20</v>
      </c>
      <c r="C9" s="37"/>
      <c r="D9" s="38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>
        <v>177.44</v>
      </c>
      <c r="AG9" s="35"/>
      <c r="AH9" s="35"/>
      <c r="AI9" s="35"/>
      <c r="AJ9" s="35">
        <v>178.58</v>
      </c>
      <c r="AK9" s="35"/>
      <c r="AL9" s="35">
        <f t="shared" si="0"/>
        <v>22.800000000000296</v>
      </c>
      <c r="AM9" s="35">
        <f>IF(AL9="","",AK9+AL9)</f>
        <v>22.800000000000296</v>
      </c>
      <c r="AN9" s="35">
        <v>178.58</v>
      </c>
      <c r="AO9" s="35"/>
      <c r="AP9" s="39">
        <f t="shared" si="1"/>
        <v>0</v>
      </c>
      <c r="AQ9" s="39">
        <f t="shared" si="2"/>
        <v>0</v>
      </c>
      <c r="AR9" s="35">
        <v>178.58</v>
      </c>
      <c r="AS9" s="35">
        <v>106.89</v>
      </c>
      <c r="AT9" s="39">
        <f t="shared" si="3"/>
        <v>0</v>
      </c>
      <c r="AU9" s="39">
        <f t="shared" si="4"/>
        <v>106.89</v>
      </c>
      <c r="AV9" s="35"/>
      <c r="AW9" s="35"/>
      <c r="AX9" s="39" t="str">
        <f t="shared" si="5"/>
        <v/>
      </c>
      <c r="AY9" s="39" t="str">
        <f t="shared" si="6"/>
        <v/>
      </c>
    </row>
    <row r="10" spans="1:51" ht="22.5" customHeight="1">
      <c r="A10" s="35" t="s">
        <v>234</v>
      </c>
      <c r="B10" s="36">
        <v>50</v>
      </c>
      <c r="C10" s="37"/>
      <c r="D10" s="38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9">
        <v>0</v>
      </c>
      <c r="AG10" s="35"/>
      <c r="AH10" s="35"/>
      <c r="AI10" s="35"/>
      <c r="AJ10" s="39">
        <v>13.18</v>
      </c>
      <c r="AK10" s="35"/>
      <c r="AL10" s="35">
        <f t="shared" si="0"/>
        <v>659</v>
      </c>
      <c r="AM10" s="35"/>
      <c r="AN10" s="35">
        <v>13.18</v>
      </c>
      <c r="AO10" s="35"/>
      <c r="AP10" s="39">
        <f t="shared" si="1"/>
        <v>0</v>
      </c>
      <c r="AQ10" s="39">
        <f t="shared" si="2"/>
        <v>0</v>
      </c>
      <c r="AR10" s="35">
        <v>13.18</v>
      </c>
      <c r="AS10" s="35"/>
      <c r="AT10" s="39">
        <f t="shared" si="3"/>
        <v>0</v>
      </c>
      <c r="AU10" s="39">
        <f t="shared" si="4"/>
        <v>0</v>
      </c>
      <c r="AV10" s="35"/>
      <c r="AW10" s="35"/>
      <c r="AX10" s="39" t="str">
        <f t="shared" si="5"/>
        <v/>
      </c>
      <c r="AY10" s="39" t="str">
        <f t="shared" si="6"/>
        <v/>
      </c>
    </row>
    <row r="11" spans="1:51" ht="22.5" customHeight="1">
      <c r="A11" s="35" t="s">
        <v>51</v>
      </c>
      <c r="B11" s="36">
        <v>20</v>
      </c>
      <c r="C11" s="37"/>
      <c r="D11" s="38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>
        <v>300.52</v>
      </c>
      <c r="AG11" s="35"/>
      <c r="AH11" s="35"/>
      <c r="AI11" s="35"/>
      <c r="AJ11" s="35">
        <v>307.24</v>
      </c>
      <c r="AK11" s="35"/>
      <c r="AL11" s="35">
        <f t="shared" si="0"/>
        <v>134.40000000000055</v>
      </c>
      <c r="AM11" s="35">
        <f t="shared" ref="AM11:AM19" si="7">IF(AL11="","",AK11+AL11)</f>
        <v>134.40000000000055</v>
      </c>
      <c r="AN11" s="35">
        <v>313.82</v>
      </c>
      <c r="AO11" s="35"/>
      <c r="AP11" s="39">
        <f t="shared" si="1"/>
        <v>131.59999999999968</v>
      </c>
      <c r="AQ11" s="39">
        <f t="shared" si="2"/>
        <v>131.59999999999968</v>
      </c>
      <c r="AR11" s="35">
        <v>313.82</v>
      </c>
      <c r="AS11" s="35"/>
      <c r="AT11" s="39">
        <f t="shared" si="3"/>
        <v>0</v>
      </c>
      <c r="AU11" s="39">
        <f t="shared" si="4"/>
        <v>0</v>
      </c>
      <c r="AV11" s="35"/>
      <c r="AW11" s="35"/>
      <c r="AX11" s="39" t="str">
        <f t="shared" si="5"/>
        <v/>
      </c>
      <c r="AY11" s="39" t="str">
        <f t="shared" si="6"/>
        <v/>
      </c>
    </row>
    <row r="12" spans="1:51" ht="22.5" customHeight="1">
      <c r="A12" s="35" t="s">
        <v>52</v>
      </c>
      <c r="B12" s="36">
        <v>10</v>
      </c>
      <c r="C12" s="37"/>
      <c r="D12" s="38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9"/>
      <c r="AG12" s="39"/>
      <c r="AH12" s="39"/>
      <c r="AI12" s="39"/>
      <c r="AJ12" s="39">
        <v>97.62</v>
      </c>
      <c r="AK12" s="39"/>
      <c r="AL12" s="35">
        <f t="shared" si="0"/>
        <v>976.2</v>
      </c>
      <c r="AM12" s="35">
        <f t="shared" si="7"/>
        <v>976.2</v>
      </c>
      <c r="AN12" s="39">
        <v>98.15</v>
      </c>
      <c r="AO12" s="39"/>
      <c r="AP12" s="39">
        <f t="shared" si="1"/>
        <v>5.3000000000000114</v>
      </c>
      <c r="AQ12" s="39">
        <f t="shared" si="2"/>
        <v>5.3000000000000114</v>
      </c>
      <c r="AR12" s="39">
        <v>98.72</v>
      </c>
      <c r="AS12" s="39"/>
      <c r="AT12" s="39">
        <f t="shared" si="3"/>
        <v>5.6999999999999318</v>
      </c>
      <c r="AU12" s="39">
        <f t="shared" si="4"/>
        <v>5.6999999999999318</v>
      </c>
      <c r="AV12" s="39"/>
      <c r="AW12" s="39"/>
      <c r="AX12" s="39" t="str">
        <f t="shared" si="5"/>
        <v/>
      </c>
      <c r="AY12" s="39" t="str">
        <f t="shared" si="6"/>
        <v/>
      </c>
    </row>
    <row r="13" spans="1:51" ht="22.5" customHeight="1">
      <c r="A13" s="40" t="s">
        <v>254</v>
      </c>
      <c r="B13" s="41">
        <v>1</v>
      </c>
      <c r="C13" s="42"/>
      <c r="D13" s="43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 t="str">
        <f t="shared" si="0"/>
        <v/>
      </c>
      <c r="AM13" s="44" t="str">
        <f t="shared" si="7"/>
        <v/>
      </c>
      <c r="AN13" s="44"/>
      <c r="AO13" s="44"/>
      <c r="AP13" s="44" t="str">
        <f t="shared" si="1"/>
        <v/>
      </c>
      <c r="AQ13" s="44" t="str">
        <f t="shared" si="2"/>
        <v/>
      </c>
      <c r="AR13" s="44">
        <v>3795.16</v>
      </c>
      <c r="AS13" s="44"/>
      <c r="AT13" s="44">
        <f t="shared" si="3"/>
        <v>3795.16</v>
      </c>
      <c r="AU13" s="44">
        <f t="shared" si="4"/>
        <v>3795.16</v>
      </c>
      <c r="AV13" s="44"/>
      <c r="AW13" s="44"/>
      <c r="AX13" s="44" t="str">
        <f t="shared" si="5"/>
        <v/>
      </c>
      <c r="AY13" s="44" t="str">
        <f t="shared" si="6"/>
        <v/>
      </c>
    </row>
    <row r="14" spans="1:51" ht="22.5" customHeight="1">
      <c r="A14" s="35" t="s">
        <v>53</v>
      </c>
      <c r="B14" s="36">
        <v>40</v>
      </c>
      <c r="C14" s="37"/>
      <c r="D14" s="38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9"/>
      <c r="AG14" s="39"/>
      <c r="AH14" s="39"/>
      <c r="AI14" s="39"/>
      <c r="AJ14" s="39">
        <v>324.63</v>
      </c>
      <c r="AK14" s="39"/>
      <c r="AL14" s="35">
        <f t="shared" si="0"/>
        <v>12985.2</v>
      </c>
      <c r="AM14" s="35">
        <f t="shared" si="7"/>
        <v>12985.2</v>
      </c>
      <c r="AN14" s="39">
        <v>328.39</v>
      </c>
      <c r="AO14" s="39"/>
      <c r="AP14" s="39">
        <f t="shared" si="1"/>
        <v>150.39999999999964</v>
      </c>
      <c r="AQ14" s="39">
        <f t="shared" si="2"/>
        <v>150.39999999999964</v>
      </c>
      <c r="AR14" s="39">
        <v>331.92</v>
      </c>
      <c r="AS14" s="39"/>
      <c r="AT14" s="39">
        <f t="shared" si="3"/>
        <v>141.20000000000118</v>
      </c>
      <c r="AU14" s="39">
        <f t="shared" si="4"/>
        <v>141.20000000000118</v>
      </c>
      <c r="AV14" s="39"/>
      <c r="AW14" s="39"/>
      <c r="AX14" s="39" t="str">
        <f t="shared" si="5"/>
        <v/>
      </c>
      <c r="AY14" s="39" t="str">
        <f t="shared" si="6"/>
        <v/>
      </c>
    </row>
    <row r="15" spans="1:51" ht="22.5" customHeight="1">
      <c r="A15" s="35" t="s">
        <v>54</v>
      </c>
      <c r="B15" s="36">
        <v>20</v>
      </c>
      <c r="C15" s="37">
        <v>1644.8</v>
      </c>
      <c r="D15" s="38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>
        <v>1747.52</v>
      </c>
      <c r="AG15" s="35"/>
      <c r="AH15" s="35"/>
      <c r="AI15" s="35"/>
      <c r="AJ15" s="35">
        <v>1769.04</v>
      </c>
      <c r="AK15" s="35">
        <v>5360.09</v>
      </c>
      <c r="AL15" s="35">
        <f t="shared" si="0"/>
        <v>430.39999999999964</v>
      </c>
      <c r="AM15" s="35">
        <f t="shared" si="7"/>
        <v>5790.49</v>
      </c>
      <c r="AN15" s="35">
        <v>1784.67</v>
      </c>
      <c r="AO15" s="35">
        <v>860.39</v>
      </c>
      <c r="AP15" s="39">
        <f t="shared" si="1"/>
        <v>312.60000000000218</v>
      </c>
      <c r="AQ15" s="39">
        <f t="shared" si="2"/>
        <v>1172.9900000000021</v>
      </c>
      <c r="AR15" s="35">
        <v>1804.06</v>
      </c>
      <c r="AS15" s="35">
        <v>1315.68</v>
      </c>
      <c r="AT15" s="39">
        <f t="shared" si="3"/>
        <v>387.79999999999745</v>
      </c>
      <c r="AU15" s="39">
        <f t="shared" si="4"/>
        <v>1703.4799999999975</v>
      </c>
      <c r="AV15" s="35"/>
      <c r="AW15" s="35"/>
      <c r="AX15" s="39" t="str">
        <f t="shared" si="5"/>
        <v/>
      </c>
      <c r="AY15" s="39" t="str">
        <f t="shared" si="6"/>
        <v/>
      </c>
    </row>
    <row r="16" spans="1:51" ht="22.5" customHeight="1">
      <c r="A16" s="35" t="s">
        <v>55</v>
      </c>
      <c r="B16" s="36">
        <v>20</v>
      </c>
      <c r="C16" s="37">
        <v>469.42</v>
      </c>
      <c r="D16" s="38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>
        <v>597.29999999999995</v>
      </c>
      <c r="AG16" s="35"/>
      <c r="AH16" s="35"/>
      <c r="AI16" s="35"/>
      <c r="AJ16" s="35">
        <v>624.97</v>
      </c>
      <c r="AK16" s="35">
        <v>7618.81</v>
      </c>
      <c r="AL16" s="35">
        <f t="shared" si="0"/>
        <v>553.40000000000146</v>
      </c>
      <c r="AM16" s="35">
        <f t="shared" si="7"/>
        <v>8172.2100000000019</v>
      </c>
      <c r="AN16" s="35">
        <v>658.93</v>
      </c>
      <c r="AO16" s="35">
        <v>1920.03</v>
      </c>
      <c r="AP16" s="39">
        <f t="shared" si="1"/>
        <v>679.19999999999845</v>
      </c>
      <c r="AQ16" s="39">
        <f t="shared" si="2"/>
        <v>2599.2299999999987</v>
      </c>
      <c r="AR16" s="35">
        <v>698.37</v>
      </c>
      <c r="AS16" s="35">
        <v>1696.21</v>
      </c>
      <c r="AT16" s="39">
        <f t="shared" si="3"/>
        <v>788.80000000000109</v>
      </c>
      <c r="AU16" s="39">
        <f t="shared" si="4"/>
        <v>2485.0100000000011</v>
      </c>
      <c r="AV16" s="35"/>
      <c r="AW16" s="35"/>
      <c r="AX16" s="39" t="str">
        <f t="shared" si="5"/>
        <v/>
      </c>
      <c r="AY16" s="39" t="str">
        <f t="shared" si="6"/>
        <v/>
      </c>
    </row>
    <row r="17" spans="1:51" ht="22.5" customHeight="1">
      <c r="A17" s="35" t="s">
        <v>56</v>
      </c>
      <c r="B17" s="36">
        <v>10</v>
      </c>
      <c r="C17" s="37"/>
      <c r="D17" s="38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9">
        <v>336.04</v>
      </c>
      <c r="AK17" s="35"/>
      <c r="AL17" s="35">
        <f t="shared" si="0"/>
        <v>3360.4</v>
      </c>
      <c r="AM17" s="35">
        <f t="shared" si="7"/>
        <v>3360.4</v>
      </c>
      <c r="AN17" s="35">
        <v>341.98</v>
      </c>
      <c r="AO17" s="35"/>
      <c r="AP17" s="39">
        <f t="shared" si="1"/>
        <v>59.399999999999977</v>
      </c>
      <c r="AQ17" s="39">
        <f t="shared" si="2"/>
        <v>59.399999999999977</v>
      </c>
      <c r="AR17" s="35">
        <v>355.23</v>
      </c>
      <c r="AS17" s="35"/>
      <c r="AT17" s="39">
        <f t="shared" si="3"/>
        <v>132.5</v>
      </c>
      <c r="AU17" s="39">
        <f t="shared" si="4"/>
        <v>132.5</v>
      </c>
      <c r="AV17" s="35"/>
      <c r="AW17" s="35"/>
      <c r="AX17" s="39" t="str">
        <f t="shared" si="5"/>
        <v/>
      </c>
      <c r="AY17" s="39" t="str">
        <f t="shared" si="6"/>
        <v/>
      </c>
    </row>
    <row r="18" spans="1:51" ht="22.5" customHeight="1">
      <c r="A18" s="40" t="s">
        <v>253</v>
      </c>
      <c r="B18" s="41">
        <v>1</v>
      </c>
      <c r="C18" s="42"/>
      <c r="D18" s="43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 t="str">
        <f t="shared" si="0"/>
        <v/>
      </c>
      <c r="AM18" s="44" t="str">
        <f t="shared" si="7"/>
        <v/>
      </c>
      <c r="AN18" s="44"/>
      <c r="AO18" s="44"/>
      <c r="AP18" s="44" t="str">
        <f t="shared" si="1"/>
        <v/>
      </c>
      <c r="AQ18" s="44" t="str">
        <f t="shared" si="2"/>
        <v/>
      </c>
      <c r="AR18" s="44">
        <v>1346.73</v>
      </c>
      <c r="AS18" s="44"/>
      <c r="AT18" s="44">
        <f t="shared" si="3"/>
        <v>1346.73</v>
      </c>
      <c r="AU18" s="44">
        <f t="shared" si="4"/>
        <v>1346.73</v>
      </c>
      <c r="AV18" s="44"/>
      <c r="AW18" s="44"/>
      <c r="AX18" s="44" t="str">
        <f t="shared" si="5"/>
        <v/>
      </c>
      <c r="AY18" s="44" t="str">
        <f t="shared" si="6"/>
        <v/>
      </c>
    </row>
    <row r="19" spans="1:51" ht="22.5" customHeight="1">
      <c r="A19" s="35" t="s">
        <v>232</v>
      </c>
      <c r="B19" s="36">
        <v>40</v>
      </c>
      <c r="C19" s="37"/>
      <c r="D19" s="38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9">
        <v>1277.33</v>
      </c>
      <c r="AK19" s="35"/>
      <c r="AL19" s="35">
        <f t="shared" si="0"/>
        <v>51093.2</v>
      </c>
      <c r="AM19" s="35">
        <f t="shared" si="7"/>
        <v>51093.2</v>
      </c>
      <c r="AN19" s="37">
        <v>1303.5999999999999</v>
      </c>
      <c r="AO19" s="35"/>
      <c r="AP19" s="39">
        <f t="shared" si="1"/>
        <v>1050.7999999999993</v>
      </c>
      <c r="AQ19" s="39">
        <f t="shared" si="2"/>
        <v>1050.7999999999993</v>
      </c>
      <c r="AR19" s="35">
        <v>1336.08</v>
      </c>
      <c r="AS19" s="35"/>
      <c r="AT19" s="39">
        <f t="shared" si="3"/>
        <v>1299.2000000000007</v>
      </c>
      <c r="AU19" s="39">
        <f t="shared" si="4"/>
        <v>1299.2000000000007</v>
      </c>
      <c r="AV19" s="35"/>
      <c r="AW19" s="35"/>
      <c r="AX19" s="39" t="str">
        <f t="shared" si="5"/>
        <v/>
      </c>
      <c r="AY19" s="39" t="str">
        <f t="shared" si="6"/>
        <v/>
      </c>
    </row>
    <row r="20" spans="1:51" ht="22.5" customHeight="1">
      <c r="A20" s="35" t="s">
        <v>57</v>
      </c>
      <c r="B20" s="36">
        <v>20</v>
      </c>
      <c r="C20" s="37"/>
      <c r="D20" s="38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>
        <v>110.61</v>
      </c>
      <c r="AO20" s="35"/>
      <c r="AP20" s="39">
        <f t="shared" si="1"/>
        <v>2212.1999999999998</v>
      </c>
      <c r="AQ20" s="39">
        <f t="shared" si="2"/>
        <v>2212.1999999999998</v>
      </c>
      <c r="AR20" s="35">
        <v>142.30000000000001</v>
      </c>
      <c r="AS20" s="35">
        <v>646.91</v>
      </c>
      <c r="AT20" s="39">
        <f t="shared" si="3"/>
        <v>633.80000000000018</v>
      </c>
      <c r="AU20" s="39">
        <f t="shared" si="4"/>
        <v>1280.71</v>
      </c>
      <c r="AV20" s="35"/>
      <c r="AW20" s="35"/>
      <c r="AX20" s="39" t="str">
        <f t="shared" si="5"/>
        <v/>
      </c>
      <c r="AY20" s="39" t="str">
        <f t="shared" si="6"/>
        <v/>
      </c>
    </row>
    <row r="21" spans="1:51" ht="22.5" customHeight="1">
      <c r="A21" s="35" t="s">
        <v>58</v>
      </c>
      <c r="B21" s="36">
        <v>20</v>
      </c>
      <c r="C21" s="37"/>
      <c r="D21" s="38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>
        <v>193.57</v>
      </c>
      <c r="AG21" s="35"/>
      <c r="AH21" s="35"/>
      <c r="AI21" s="35"/>
      <c r="AJ21" s="35">
        <v>280.06</v>
      </c>
      <c r="AK21" s="35"/>
      <c r="AL21" s="35">
        <f>IF(AJ21="","",IF(AF21="",(AJ21-C21)*B21,(AJ21-AF21)*B21))</f>
        <v>1729.8000000000002</v>
      </c>
      <c r="AM21" s="35">
        <f>IF(AL21="","",AK21+AL21)</f>
        <v>1729.8000000000002</v>
      </c>
      <c r="AN21" s="35">
        <v>423.95</v>
      </c>
      <c r="AO21" s="35"/>
      <c r="AP21" s="39">
        <f t="shared" si="1"/>
        <v>2877.7999999999997</v>
      </c>
      <c r="AQ21" s="39">
        <f t="shared" si="2"/>
        <v>2877.7999999999997</v>
      </c>
      <c r="AR21" s="35">
        <v>552.87</v>
      </c>
      <c r="AS21" s="35">
        <v>2276.37</v>
      </c>
      <c r="AT21" s="39">
        <f t="shared" si="3"/>
        <v>2578.4000000000005</v>
      </c>
      <c r="AU21" s="39">
        <f t="shared" si="4"/>
        <v>4854.7700000000004</v>
      </c>
      <c r="AV21" s="35"/>
      <c r="AW21" s="35"/>
      <c r="AX21" s="39" t="str">
        <f t="shared" si="5"/>
        <v/>
      </c>
      <c r="AY21" s="39" t="str">
        <f t="shared" si="6"/>
        <v/>
      </c>
    </row>
    <row r="22" spans="1:51" ht="22.5" customHeight="1">
      <c r="A22" s="39" t="s">
        <v>59</v>
      </c>
      <c r="B22" s="36">
        <v>10</v>
      </c>
      <c r="C22" s="37"/>
      <c r="D22" s="38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>
        <v>102.82</v>
      </c>
      <c r="AK22" s="35"/>
      <c r="AL22" s="35">
        <f>IF(AJ22="","",IF(AF22="",(AJ22-C22)*B22,(AJ22-AF22)*B22))</f>
        <v>1028.1999999999998</v>
      </c>
      <c r="AM22" s="35">
        <f>IF(AL22="","",AK22+AL22)</f>
        <v>1028.1999999999998</v>
      </c>
      <c r="AN22" s="35">
        <v>107.48</v>
      </c>
      <c r="AO22" s="35"/>
      <c r="AP22" s="39">
        <f t="shared" si="1"/>
        <v>46.600000000000108</v>
      </c>
      <c r="AQ22" s="39">
        <f t="shared" si="2"/>
        <v>46.600000000000108</v>
      </c>
      <c r="AR22" s="35">
        <v>116.38</v>
      </c>
      <c r="AS22" s="35"/>
      <c r="AT22" s="39">
        <f t="shared" si="3"/>
        <v>88.999999999999915</v>
      </c>
      <c r="AU22" s="39">
        <f t="shared" si="4"/>
        <v>88.999999999999915</v>
      </c>
      <c r="AV22" s="35"/>
      <c r="AW22" s="35"/>
      <c r="AX22" s="39" t="str">
        <f t="shared" si="5"/>
        <v/>
      </c>
      <c r="AY22" s="39" t="str">
        <f t="shared" si="6"/>
        <v/>
      </c>
    </row>
    <row r="23" spans="1:51" ht="22.5" customHeight="1">
      <c r="A23" s="40" t="s">
        <v>255</v>
      </c>
      <c r="B23" s="41">
        <v>1</v>
      </c>
      <c r="C23" s="42"/>
      <c r="D23" s="43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 t="str">
        <f>IF(AJ23="","",IF(AF23="",(AJ23-C23)*B23,(AJ23-AF23)*B23))</f>
        <v/>
      </c>
      <c r="AM23" s="44" t="str">
        <f>IF(AL23="","",AK23+AL23)</f>
        <v/>
      </c>
      <c r="AN23" s="44"/>
      <c r="AO23" s="44"/>
      <c r="AP23" s="44" t="str">
        <f t="shared" si="1"/>
        <v/>
      </c>
      <c r="AQ23" s="44" t="str">
        <f t="shared" si="2"/>
        <v/>
      </c>
      <c r="AR23" s="44">
        <v>3211.25</v>
      </c>
      <c r="AS23" s="44"/>
      <c r="AT23" s="44">
        <f t="shared" si="3"/>
        <v>3211.25</v>
      </c>
      <c r="AU23" s="44">
        <f t="shared" si="4"/>
        <v>3211.25</v>
      </c>
      <c r="AV23" s="44"/>
      <c r="AW23" s="44"/>
      <c r="AX23" s="44" t="str">
        <f t="shared" si="5"/>
        <v/>
      </c>
      <c r="AY23" s="44" t="str">
        <f t="shared" si="6"/>
        <v/>
      </c>
    </row>
    <row r="24" spans="1:51" ht="22.5" customHeight="1">
      <c r="A24" s="39" t="s">
        <v>60</v>
      </c>
      <c r="B24" s="36">
        <v>40</v>
      </c>
      <c r="C24" s="37"/>
      <c r="D24" s="38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>
        <v>229.93</v>
      </c>
      <c r="AK24" s="35"/>
      <c r="AL24" s="35">
        <f>IF(AJ24="","",IF(AF24="",(AJ24-C24)*B24,(AJ24-AF24)*B24))</f>
        <v>9197.2000000000007</v>
      </c>
      <c r="AM24" s="35">
        <f>IF(AL24="","",AK24+AL24)</f>
        <v>9197.2000000000007</v>
      </c>
      <c r="AN24" s="35">
        <v>302.87</v>
      </c>
      <c r="AO24" s="35"/>
      <c r="AP24" s="39">
        <f t="shared" si="1"/>
        <v>2917.6</v>
      </c>
      <c r="AQ24" s="39">
        <f t="shared" si="2"/>
        <v>2917.6</v>
      </c>
      <c r="AR24" s="35">
        <v>385.13</v>
      </c>
      <c r="AS24" s="35"/>
      <c r="AT24" s="39">
        <f t="shared" si="3"/>
        <v>3290.3999999999996</v>
      </c>
      <c r="AU24" s="39">
        <f t="shared" si="4"/>
        <v>3290.3999999999996</v>
      </c>
      <c r="AV24" s="35"/>
      <c r="AW24" s="35"/>
      <c r="AX24" s="39" t="str">
        <f t="shared" si="5"/>
        <v/>
      </c>
      <c r="AY24" s="39" t="str">
        <f t="shared" si="6"/>
        <v/>
      </c>
    </row>
    <row r="25" spans="1:51" ht="22.5" customHeight="1">
      <c r="A25" s="40" t="s">
        <v>237</v>
      </c>
      <c r="B25" s="41">
        <v>20</v>
      </c>
      <c r="C25" s="42"/>
      <c r="D25" s="43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 t="str">
        <f>IF(AJ25="","",IF(AF25="",(AJ25-C25)*B25,(AJ25-AF25)*B25))</f>
        <v/>
      </c>
      <c r="AM25" s="44" t="str">
        <f>IF(AL25="","",AK25+AL25)</f>
        <v/>
      </c>
      <c r="AN25" s="44"/>
      <c r="AO25" s="44"/>
      <c r="AP25" s="44" t="str">
        <f t="shared" si="1"/>
        <v/>
      </c>
      <c r="AQ25" s="44" t="str">
        <f t="shared" si="2"/>
        <v/>
      </c>
      <c r="AR25" s="44"/>
      <c r="AS25" s="44"/>
      <c r="AT25" s="44" t="str">
        <f t="shared" si="3"/>
        <v/>
      </c>
      <c r="AU25" s="44" t="str">
        <f t="shared" si="4"/>
        <v/>
      </c>
      <c r="AV25" s="44"/>
      <c r="AW25" s="44"/>
      <c r="AX25" s="44" t="str">
        <f t="shared" si="5"/>
        <v/>
      </c>
      <c r="AY25" s="44" t="str">
        <f t="shared" si="6"/>
        <v/>
      </c>
    </row>
    <row r="26" spans="1:51" ht="22.5" customHeight="1">
      <c r="A26" s="35" t="s">
        <v>61</v>
      </c>
      <c r="B26" s="36">
        <v>20</v>
      </c>
      <c r="C26" s="37">
        <v>94.89</v>
      </c>
      <c r="D26" s="38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9" t="str">
        <f t="shared" si="3"/>
        <v/>
      </c>
      <c r="AU26" s="39" t="str">
        <f t="shared" si="4"/>
        <v/>
      </c>
      <c r="AV26" s="35"/>
      <c r="AW26" s="35"/>
      <c r="AX26" s="39" t="str">
        <f t="shared" si="5"/>
        <v/>
      </c>
      <c r="AY26" s="39" t="str">
        <f t="shared" si="6"/>
        <v/>
      </c>
    </row>
    <row r="27" spans="1:51" ht="22.5" customHeight="1">
      <c r="A27" s="40" t="s">
        <v>239</v>
      </c>
      <c r="B27" s="41">
        <v>10</v>
      </c>
      <c r="C27" s="42"/>
      <c r="D27" s="43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 t="str">
        <f t="shared" ref="AL27:AL52" si="8">IF(AJ27="","",IF(AF27="",(AJ27-C27)*B27,(AJ27-AF27)*B27))</f>
        <v/>
      </c>
      <c r="AM27" s="44" t="str">
        <f t="shared" ref="AM27:AM52" si="9">IF(AL27="","",AK27+AL27)</f>
        <v/>
      </c>
      <c r="AN27" s="44"/>
      <c r="AO27" s="44"/>
      <c r="AP27" s="44" t="str">
        <f t="shared" ref="AP27:AP52" si="10">IF(AN27="","",IF(AJ27="",(AN27-C27)*B27,(AN27-AJ27)*B27))</f>
        <v/>
      </c>
      <c r="AQ27" s="44" t="str">
        <f t="shared" ref="AQ27:AQ52" si="11">IF(AP27="","",AP27+AO27)</f>
        <v/>
      </c>
      <c r="AR27" s="44">
        <v>36.72</v>
      </c>
      <c r="AS27" s="44"/>
      <c r="AT27" s="44">
        <f t="shared" si="3"/>
        <v>367.2</v>
      </c>
      <c r="AU27" s="44">
        <f t="shared" si="4"/>
        <v>367.2</v>
      </c>
      <c r="AV27" s="44"/>
      <c r="AW27" s="44"/>
      <c r="AX27" s="44" t="str">
        <f t="shared" si="5"/>
        <v/>
      </c>
      <c r="AY27" s="44" t="str">
        <f t="shared" si="6"/>
        <v/>
      </c>
    </row>
    <row r="28" spans="1:51" ht="22.5" customHeight="1">
      <c r="A28" s="40" t="s">
        <v>256</v>
      </c>
      <c r="B28" s="41">
        <v>1</v>
      </c>
      <c r="C28" s="42"/>
      <c r="D28" s="43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 t="str">
        <f t="shared" si="8"/>
        <v/>
      </c>
      <c r="AM28" s="44" t="str">
        <f t="shared" si="9"/>
        <v/>
      </c>
      <c r="AN28" s="44"/>
      <c r="AO28" s="44"/>
      <c r="AP28" s="44" t="str">
        <f t="shared" si="10"/>
        <v/>
      </c>
      <c r="AQ28" s="44" t="str">
        <f t="shared" si="11"/>
        <v/>
      </c>
      <c r="AR28" s="44">
        <v>825.04</v>
      </c>
      <c r="AS28" s="44"/>
      <c r="AT28" s="44">
        <f t="shared" si="3"/>
        <v>825.04</v>
      </c>
      <c r="AU28" s="44">
        <f t="shared" si="4"/>
        <v>825.04</v>
      </c>
      <c r="AV28" s="44"/>
      <c r="AW28" s="44"/>
      <c r="AX28" s="44" t="str">
        <f t="shared" si="5"/>
        <v/>
      </c>
      <c r="AY28" s="44" t="str">
        <f t="shared" si="6"/>
        <v/>
      </c>
    </row>
    <row r="29" spans="1:51" ht="22.5" customHeight="1">
      <c r="A29" s="40" t="s">
        <v>238</v>
      </c>
      <c r="B29" s="41">
        <v>40</v>
      </c>
      <c r="C29" s="42"/>
      <c r="D29" s="43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 t="str">
        <f t="shared" si="8"/>
        <v/>
      </c>
      <c r="AM29" s="44" t="str">
        <f t="shared" si="9"/>
        <v/>
      </c>
      <c r="AN29" s="44"/>
      <c r="AO29" s="44"/>
      <c r="AP29" s="44" t="str">
        <f t="shared" si="10"/>
        <v/>
      </c>
      <c r="AQ29" s="44" t="str">
        <f t="shared" si="11"/>
        <v/>
      </c>
      <c r="AR29" s="44">
        <v>125.21</v>
      </c>
      <c r="AS29" s="44"/>
      <c r="AT29" s="44">
        <f t="shared" si="3"/>
        <v>5008.3999999999996</v>
      </c>
      <c r="AU29" s="44">
        <f t="shared" si="4"/>
        <v>5008.3999999999996</v>
      </c>
      <c r="AV29" s="44"/>
      <c r="AW29" s="44"/>
      <c r="AX29" s="44" t="str">
        <f t="shared" si="5"/>
        <v/>
      </c>
      <c r="AY29" s="44" t="str">
        <f t="shared" si="6"/>
        <v/>
      </c>
    </row>
    <row r="30" spans="1:51" ht="22.5" customHeight="1">
      <c r="A30" s="35" t="s">
        <v>62</v>
      </c>
      <c r="B30" s="36">
        <v>20</v>
      </c>
      <c r="C30" s="37"/>
      <c r="D30" s="38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>
        <v>75.599999999999994</v>
      </c>
      <c r="AG30" s="35"/>
      <c r="AH30" s="35"/>
      <c r="AI30" s="35"/>
      <c r="AJ30" s="35">
        <v>87.28</v>
      </c>
      <c r="AK30" s="35"/>
      <c r="AL30" s="35">
        <f t="shared" si="8"/>
        <v>233.60000000000014</v>
      </c>
      <c r="AM30" s="35">
        <f t="shared" si="9"/>
        <v>233.60000000000014</v>
      </c>
      <c r="AN30" s="35">
        <v>121.16</v>
      </c>
      <c r="AO30" s="35">
        <v>1178.17</v>
      </c>
      <c r="AP30" s="39">
        <f t="shared" si="10"/>
        <v>677.59999999999991</v>
      </c>
      <c r="AQ30" s="39">
        <f t="shared" si="11"/>
        <v>1855.77</v>
      </c>
      <c r="AR30" s="35">
        <v>187.65</v>
      </c>
      <c r="AS30" s="35">
        <v>1494.22</v>
      </c>
      <c r="AT30" s="39">
        <f t="shared" si="3"/>
        <v>1329.8000000000002</v>
      </c>
      <c r="AU30" s="39">
        <f t="shared" si="4"/>
        <v>2824.0200000000004</v>
      </c>
      <c r="AV30" s="35"/>
      <c r="AW30" s="35"/>
      <c r="AX30" s="39" t="str">
        <f t="shared" si="5"/>
        <v/>
      </c>
      <c r="AY30" s="39" t="str">
        <f t="shared" si="6"/>
        <v/>
      </c>
    </row>
    <row r="31" spans="1:51" s="51" customFormat="1" ht="22.5" customHeight="1">
      <c r="A31" s="35" t="s">
        <v>63</v>
      </c>
      <c r="B31" s="36">
        <v>20</v>
      </c>
      <c r="C31" s="37"/>
      <c r="D31" s="38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>
        <v>74.31</v>
      </c>
      <c r="AG31" s="35"/>
      <c r="AH31" s="35"/>
      <c r="AI31" s="35"/>
      <c r="AJ31" s="35">
        <v>88.42</v>
      </c>
      <c r="AK31" s="35"/>
      <c r="AL31" s="35">
        <f t="shared" si="8"/>
        <v>282.2</v>
      </c>
      <c r="AM31" s="35">
        <f t="shared" si="9"/>
        <v>282.2</v>
      </c>
      <c r="AN31" s="35">
        <v>115.35</v>
      </c>
      <c r="AO31" s="35">
        <v>956.43</v>
      </c>
      <c r="AP31" s="39">
        <f t="shared" si="10"/>
        <v>538.59999999999991</v>
      </c>
      <c r="AQ31" s="39">
        <f t="shared" si="11"/>
        <v>1495.0299999999997</v>
      </c>
      <c r="AR31" s="35"/>
      <c r="AS31" s="35"/>
      <c r="AT31" s="39" t="str">
        <f t="shared" si="3"/>
        <v/>
      </c>
      <c r="AU31" s="39" t="str">
        <f t="shared" si="4"/>
        <v/>
      </c>
      <c r="AV31" s="35"/>
      <c r="AW31" s="35"/>
      <c r="AX31" s="39" t="str">
        <f t="shared" si="5"/>
        <v/>
      </c>
      <c r="AY31" s="39" t="str">
        <f t="shared" si="6"/>
        <v/>
      </c>
    </row>
    <row r="32" spans="1:51" s="51" customFormat="1" ht="22.5" customHeight="1">
      <c r="A32" s="39" t="s">
        <v>64</v>
      </c>
      <c r="B32" s="36">
        <v>10</v>
      </c>
      <c r="C32" s="37"/>
      <c r="D32" s="38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>
        <v>74.77</v>
      </c>
      <c r="AK32" s="35"/>
      <c r="AL32" s="35">
        <f t="shared" si="8"/>
        <v>747.69999999999993</v>
      </c>
      <c r="AM32" s="35">
        <f t="shared" si="9"/>
        <v>747.69999999999993</v>
      </c>
      <c r="AN32" s="35">
        <v>78.47</v>
      </c>
      <c r="AO32" s="35"/>
      <c r="AP32" s="39">
        <f t="shared" si="10"/>
        <v>37.000000000000028</v>
      </c>
      <c r="AQ32" s="39">
        <f t="shared" si="11"/>
        <v>37.000000000000028</v>
      </c>
      <c r="AR32" s="35">
        <v>93.07</v>
      </c>
      <c r="AS32" s="35"/>
      <c r="AT32" s="39">
        <f t="shared" si="3"/>
        <v>145.99999999999994</v>
      </c>
      <c r="AU32" s="39">
        <f t="shared" si="4"/>
        <v>145.99999999999994</v>
      </c>
      <c r="AV32" s="35"/>
      <c r="AW32" s="35"/>
      <c r="AX32" s="39" t="str">
        <f t="shared" si="5"/>
        <v/>
      </c>
      <c r="AY32" s="39" t="str">
        <f t="shared" si="6"/>
        <v/>
      </c>
    </row>
    <row r="33" spans="1:51" ht="22.5" customHeight="1">
      <c r="A33" s="40" t="s">
        <v>257</v>
      </c>
      <c r="B33" s="41">
        <v>1</v>
      </c>
      <c r="C33" s="42"/>
      <c r="D33" s="43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 t="str">
        <f t="shared" si="8"/>
        <v/>
      </c>
      <c r="AM33" s="44" t="str">
        <f t="shared" si="9"/>
        <v/>
      </c>
      <c r="AN33" s="44"/>
      <c r="AO33" s="44"/>
      <c r="AP33" s="44" t="str">
        <f t="shared" si="10"/>
        <v/>
      </c>
      <c r="AQ33" s="44" t="str">
        <f t="shared" si="11"/>
        <v/>
      </c>
      <c r="AR33" s="44">
        <v>3154.23</v>
      </c>
      <c r="AS33" s="44"/>
      <c r="AT33" s="44">
        <f t="shared" si="3"/>
        <v>3154.23</v>
      </c>
      <c r="AU33" s="44">
        <f t="shared" si="4"/>
        <v>3154.23</v>
      </c>
      <c r="AV33" s="44"/>
      <c r="AW33" s="44"/>
      <c r="AX33" s="44" t="str">
        <f t="shared" si="5"/>
        <v/>
      </c>
      <c r="AY33" s="44" t="str">
        <f t="shared" si="6"/>
        <v/>
      </c>
    </row>
    <row r="34" spans="1:51" ht="22.5" customHeight="1">
      <c r="A34" s="39" t="s">
        <v>65</v>
      </c>
      <c r="B34" s="36">
        <v>40</v>
      </c>
      <c r="C34" s="37"/>
      <c r="D34" s="38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>
        <v>122.07</v>
      </c>
      <c r="AK34" s="35"/>
      <c r="AL34" s="35">
        <f t="shared" si="8"/>
        <v>4882.7999999999993</v>
      </c>
      <c r="AM34" s="35">
        <f t="shared" si="9"/>
        <v>4882.7999999999993</v>
      </c>
      <c r="AN34" s="35">
        <v>152.76</v>
      </c>
      <c r="AO34" s="35"/>
      <c r="AP34" s="39">
        <f t="shared" si="10"/>
        <v>1227.5999999999999</v>
      </c>
      <c r="AQ34" s="39">
        <f t="shared" si="11"/>
        <v>1227.5999999999999</v>
      </c>
      <c r="AR34" s="35">
        <v>191.54</v>
      </c>
      <c r="AS34" s="35"/>
      <c r="AT34" s="39">
        <f t="shared" si="3"/>
        <v>1551.2</v>
      </c>
      <c r="AU34" s="39">
        <f t="shared" si="4"/>
        <v>1551.2</v>
      </c>
      <c r="AV34" s="35"/>
      <c r="AW34" s="35"/>
      <c r="AX34" s="39" t="str">
        <f t="shared" si="5"/>
        <v/>
      </c>
      <c r="AY34" s="39" t="str">
        <f t="shared" si="6"/>
        <v/>
      </c>
    </row>
    <row r="35" spans="1:51" ht="22.5" customHeight="1">
      <c r="A35" s="40" t="s">
        <v>227</v>
      </c>
      <c r="B35" s="41">
        <v>1</v>
      </c>
      <c r="C35" s="42"/>
      <c r="D35" s="43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 t="str">
        <f t="shared" si="8"/>
        <v/>
      </c>
      <c r="AM35" s="44" t="str">
        <f t="shared" si="9"/>
        <v/>
      </c>
      <c r="AN35" s="44"/>
      <c r="AO35" s="44"/>
      <c r="AP35" s="44" t="str">
        <f t="shared" si="10"/>
        <v/>
      </c>
      <c r="AQ35" s="44" t="str">
        <f t="shared" si="11"/>
        <v/>
      </c>
      <c r="AR35" s="44"/>
      <c r="AS35" s="44"/>
      <c r="AT35" s="44" t="str">
        <f t="shared" si="3"/>
        <v/>
      </c>
      <c r="AU35" s="44" t="str">
        <f t="shared" si="4"/>
        <v/>
      </c>
      <c r="AV35" s="44"/>
      <c r="AW35" s="44"/>
      <c r="AX35" s="44" t="str">
        <f t="shared" si="5"/>
        <v/>
      </c>
      <c r="AY35" s="44" t="str">
        <f t="shared" si="6"/>
        <v/>
      </c>
    </row>
    <row r="36" spans="1:51" ht="22.5" customHeight="1">
      <c r="A36" s="40" t="s">
        <v>228</v>
      </c>
      <c r="B36" s="41">
        <v>1</v>
      </c>
      <c r="C36" s="42"/>
      <c r="D36" s="43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 t="str">
        <f t="shared" si="8"/>
        <v/>
      </c>
      <c r="AM36" s="44" t="str">
        <f t="shared" si="9"/>
        <v/>
      </c>
      <c r="AN36" s="44"/>
      <c r="AO36" s="44"/>
      <c r="AP36" s="44" t="str">
        <f t="shared" si="10"/>
        <v/>
      </c>
      <c r="AQ36" s="44" t="str">
        <f t="shared" si="11"/>
        <v/>
      </c>
      <c r="AR36" s="44"/>
      <c r="AS36" s="44"/>
      <c r="AT36" s="44" t="str">
        <f t="shared" ref="AT36:AT67" si="12">IF(AR36="","",(AR36-AN36)*B36)</f>
        <v/>
      </c>
      <c r="AU36" s="44" t="str">
        <f t="shared" ref="AU36:AU67" si="13">IF(AR36="","",AS36+AT36)</f>
        <v/>
      </c>
      <c r="AV36" s="44"/>
      <c r="AW36" s="44"/>
      <c r="AX36" s="44" t="str">
        <f t="shared" ref="AX36:AX67" si="14">IF(AV36="","",(AV36-AR36)*B36)</f>
        <v/>
      </c>
      <c r="AY36" s="44" t="str">
        <f t="shared" ref="AY36:AY67" si="15">IF(AV36="","",AW36+AX36)</f>
        <v/>
      </c>
    </row>
    <row r="37" spans="1:51" ht="22.5" customHeight="1">
      <c r="A37" s="40" t="s">
        <v>229</v>
      </c>
      <c r="B37" s="41">
        <v>1</v>
      </c>
      <c r="C37" s="42"/>
      <c r="D37" s="43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 t="str">
        <f t="shared" si="8"/>
        <v/>
      </c>
      <c r="AM37" s="44" t="str">
        <f t="shared" si="9"/>
        <v/>
      </c>
      <c r="AN37" s="44"/>
      <c r="AO37" s="44"/>
      <c r="AP37" s="44" t="str">
        <f t="shared" si="10"/>
        <v/>
      </c>
      <c r="AQ37" s="44" t="str">
        <f t="shared" si="11"/>
        <v/>
      </c>
      <c r="AR37" s="44"/>
      <c r="AS37" s="44"/>
      <c r="AT37" s="44" t="str">
        <f t="shared" si="12"/>
        <v/>
      </c>
      <c r="AU37" s="44" t="str">
        <f t="shared" si="13"/>
        <v/>
      </c>
      <c r="AV37" s="44"/>
      <c r="AW37" s="44"/>
      <c r="AX37" s="44" t="str">
        <f t="shared" si="14"/>
        <v/>
      </c>
      <c r="AY37" s="44" t="str">
        <f t="shared" si="15"/>
        <v/>
      </c>
    </row>
    <row r="38" spans="1:51" ht="22.5" customHeight="1">
      <c r="A38" s="35" t="s">
        <v>66</v>
      </c>
      <c r="B38" s="36">
        <v>1</v>
      </c>
      <c r="C38" s="37"/>
      <c r="D38" s="38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>
        <v>0</v>
      </c>
      <c r="AG38" s="35"/>
      <c r="AH38" s="35"/>
      <c r="AI38" s="35"/>
      <c r="AJ38" s="35">
        <v>38.99</v>
      </c>
      <c r="AK38" s="35"/>
      <c r="AL38" s="35">
        <f t="shared" si="8"/>
        <v>38.99</v>
      </c>
      <c r="AM38" s="35">
        <f t="shared" si="9"/>
        <v>38.99</v>
      </c>
      <c r="AN38" s="35">
        <v>265.93</v>
      </c>
      <c r="AO38" s="35">
        <v>257.68</v>
      </c>
      <c r="AP38" s="39">
        <f t="shared" si="10"/>
        <v>226.94</v>
      </c>
      <c r="AQ38" s="39">
        <f t="shared" si="11"/>
        <v>484.62</v>
      </c>
      <c r="AR38" s="35">
        <v>619.65</v>
      </c>
      <c r="AS38" s="35">
        <v>1443.23</v>
      </c>
      <c r="AT38" s="39">
        <f t="shared" si="12"/>
        <v>353.71999999999997</v>
      </c>
      <c r="AU38" s="39">
        <f t="shared" si="13"/>
        <v>1796.95</v>
      </c>
      <c r="AV38" s="35"/>
      <c r="AW38" s="35"/>
      <c r="AX38" s="39" t="str">
        <f t="shared" si="14"/>
        <v/>
      </c>
      <c r="AY38" s="39" t="str">
        <f t="shared" si="15"/>
        <v/>
      </c>
    </row>
    <row r="39" spans="1:51" ht="22.5" customHeight="1">
      <c r="A39" s="35" t="s">
        <v>67</v>
      </c>
      <c r="B39" s="36">
        <v>1</v>
      </c>
      <c r="C39" s="37"/>
      <c r="D39" s="38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>
        <v>0</v>
      </c>
      <c r="AG39" s="35"/>
      <c r="AH39" s="35"/>
      <c r="AI39" s="35"/>
      <c r="AJ39" s="35">
        <v>31.85</v>
      </c>
      <c r="AK39" s="35"/>
      <c r="AL39" s="35">
        <f t="shared" si="8"/>
        <v>31.85</v>
      </c>
      <c r="AM39" s="35">
        <f t="shared" si="9"/>
        <v>31.85</v>
      </c>
      <c r="AN39" s="35">
        <v>121</v>
      </c>
      <c r="AO39" s="35">
        <v>23.52</v>
      </c>
      <c r="AP39" s="39">
        <f t="shared" si="10"/>
        <v>89.15</v>
      </c>
      <c r="AQ39" s="39">
        <f t="shared" si="11"/>
        <v>112.67</v>
      </c>
      <c r="AR39" s="35">
        <v>192.11</v>
      </c>
      <c r="AS39" s="35">
        <v>9.27</v>
      </c>
      <c r="AT39" s="39">
        <f t="shared" si="12"/>
        <v>71.110000000000014</v>
      </c>
      <c r="AU39" s="39">
        <f t="shared" si="13"/>
        <v>80.38000000000001</v>
      </c>
      <c r="AV39" s="35"/>
      <c r="AW39" s="35"/>
      <c r="AX39" s="39" t="str">
        <f t="shared" si="14"/>
        <v/>
      </c>
      <c r="AY39" s="39" t="str">
        <f t="shared" si="15"/>
        <v/>
      </c>
    </row>
    <row r="40" spans="1:51" ht="22.5" customHeight="1">
      <c r="A40" s="46" t="s">
        <v>68</v>
      </c>
      <c r="B40" s="47">
        <v>10</v>
      </c>
      <c r="C40" s="48"/>
      <c r="D40" s="49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>
        <v>74.23</v>
      </c>
      <c r="AK40" s="50"/>
      <c r="AL40" s="50">
        <f t="shared" si="8"/>
        <v>742.30000000000007</v>
      </c>
      <c r="AM40" s="50">
        <f t="shared" si="9"/>
        <v>742.30000000000007</v>
      </c>
      <c r="AN40" s="50"/>
      <c r="AO40" s="50"/>
      <c r="AP40" s="46" t="str">
        <f t="shared" si="10"/>
        <v/>
      </c>
      <c r="AQ40" s="46" t="str">
        <f t="shared" si="11"/>
        <v/>
      </c>
      <c r="AR40" s="50">
        <v>82.44</v>
      </c>
      <c r="AS40" s="50"/>
      <c r="AT40" s="46">
        <f t="shared" si="12"/>
        <v>824.4</v>
      </c>
      <c r="AU40" s="46">
        <f t="shared" si="13"/>
        <v>824.4</v>
      </c>
      <c r="AV40" s="50"/>
      <c r="AW40" s="50"/>
      <c r="AX40" s="46" t="str">
        <f t="shared" si="14"/>
        <v/>
      </c>
      <c r="AY40" s="46" t="str">
        <f t="shared" si="15"/>
        <v/>
      </c>
    </row>
    <row r="41" spans="1:51" ht="22.5" customHeight="1">
      <c r="A41" s="52" t="s">
        <v>258</v>
      </c>
      <c r="B41" s="53">
        <v>1</v>
      </c>
      <c r="C41" s="62"/>
      <c r="D41" s="54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 t="str">
        <f t="shared" si="8"/>
        <v/>
      </c>
      <c r="AM41" s="55" t="str">
        <f t="shared" si="9"/>
        <v/>
      </c>
      <c r="AN41" s="55"/>
      <c r="AO41" s="55"/>
      <c r="AP41" s="55" t="str">
        <f t="shared" si="10"/>
        <v/>
      </c>
      <c r="AQ41" s="55" t="str">
        <f t="shared" si="11"/>
        <v/>
      </c>
      <c r="AR41" s="55">
        <v>966.19</v>
      </c>
      <c r="AS41" s="55"/>
      <c r="AT41" s="55">
        <f t="shared" si="12"/>
        <v>966.19</v>
      </c>
      <c r="AU41" s="55">
        <f t="shared" si="13"/>
        <v>966.19</v>
      </c>
      <c r="AV41" s="55"/>
      <c r="AW41" s="55"/>
      <c r="AX41" s="55" t="str">
        <f t="shared" si="14"/>
        <v/>
      </c>
      <c r="AY41" s="55" t="str">
        <f t="shared" si="15"/>
        <v/>
      </c>
    </row>
    <row r="42" spans="1:51" ht="22.5" customHeight="1">
      <c r="A42" s="46" t="s">
        <v>69</v>
      </c>
      <c r="B42" s="47">
        <v>40</v>
      </c>
      <c r="C42" s="48"/>
      <c r="D42" s="49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>
        <v>128.65</v>
      </c>
      <c r="AK42" s="50"/>
      <c r="AL42" s="50">
        <f t="shared" si="8"/>
        <v>5146</v>
      </c>
      <c r="AM42" s="50">
        <f t="shared" si="9"/>
        <v>5146</v>
      </c>
      <c r="AN42" s="50"/>
      <c r="AO42" s="50"/>
      <c r="AP42" s="46" t="str">
        <f t="shared" si="10"/>
        <v/>
      </c>
      <c r="AQ42" s="46" t="str">
        <f t="shared" si="11"/>
        <v/>
      </c>
      <c r="AR42" s="50">
        <v>155.57</v>
      </c>
      <c r="AS42" s="50"/>
      <c r="AT42" s="46">
        <f t="shared" si="12"/>
        <v>6222.7999999999993</v>
      </c>
      <c r="AU42" s="46">
        <f t="shared" si="13"/>
        <v>6222.7999999999993</v>
      </c>
      <c r="AV42" s="50"/>
      <c r="AW42" s="50"/>
      <c r="AX42" s="46" t="str">
        <f t="shared" si="14"/>
        <v/>
      </c>
      <c r="AY42" s="46" t="str">
        <f t="shared" si="15"/>
        <v/>
      </c>
    </row>
    <row r="43" spans="1:51" ht="22.5" customHeight="1">
      <c r="A43" s="35" t="s">
        <v>70</v>
      </c>
      <c r="B43" s="36">
        <v>20</v>
      </c>
      <c r="C43" s="37"/>
      <c r="D43" s="38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>
        <v>80.27</v>
      </c>
      <c r="AG43" s="35"/>
      <c r="AH43" s="35"/>
      <c r="AI43" s="35"/>
      <c r="AJ43" s="35">
        <v>81.64</v>
      </c>
      <c r="AK43" s="35">
        <v>35.54</v>
      </c>
      <c r="AL43" s="35">
        <f t="shared" si="8"/>
        <v>27.400000000000091</v>
      </c>
      <c r="AM43" s="35">
        <f t="shared" si="9"/>
        <v>62.94000000000009</v>
      </c>
      <c r="AN43" s="35">
        <v>83.22</v>
      </c>
      <c r="AO43" s="35">
        <v>273.82</v>
      </c>
      <c r="AP43" s="39">
        <f t="shared" si="10"/>
        <v>31.599999999999966</v>
      </c>
      <c r="AQ43" s="39">
        <f t="shared" si="11"/>
        <v>305.41999999999996</v>
      </c>
      <c r="AR43" s="35">
        <v>84.15</v>
      </c>
      <c r="AS43" s="35"/>
      <c r="AT43" s="39">
        <f t="shared" si="12"/>
        <v>18.600000000000136</v>
      </c>
      <c r="AU43" s="39">
        <f t="shared" si="13"/>
        <v>18.600000000000136</v>
      </c>
      <c r="AV43" s="35"/>
      <c r="AW43" s="35"/>
      <c r="AX43" s="39" t="str">
        <f t="shared" si="14"/>
        <v/>
      </c>
      <c r="AY43" s="39" t="str">
        <f t="shared" si="15"/>
        <v/>
      </c>
    </row>
    <row r="44" spans="1:51" ht="22.5" customHeight="1">
      <c r="A44" s="35" t="s">
        <v>71</v>
      </c>
      <c r="B44" s="36">
        <v>1</v>
      </c>
      <c r="C44" s="37"/>
      <c r="D44" s="38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>
        <v>0</v>
      </c>
      <c r="AG44" s="35"/>
      <c r="AH44" s="35"/>
      <c r="AI44" s="35"/>
      <c r="AJ44" s="35">
        <v>0</v>
      </c>
      <c r="AK44" s="35"/>
      <c r="AL44" s="35">
        <f t="shared" si="8"/>
        <v>0</v>
      </c>
      <c r="AM44" s="35">
        <f t="shared" si="9"/>
        <v>0</v>
      </c>
      <c r="AN44" s="35">
        <v>24</v>
      </c>
      <c r="AO44" s="35">
        <v>41.64</v>
      </c>
      <c r="AP44" s="39">
        <f t="shared" si="10"/>
        <v>24</v>
      </c>
      <c r="AQ44" s="39">
        <f t="shared" si="11"/>
        <v>65.64</v>
      </c>
      <c r="AR44" s="35"/>
      <c r="AS44" s="35">
        <v>19.41</v>
      </c>
      <c r="AT44" s="39" t="str">
        <f t="shared" si="12"/>
        <v/>
      </c>
      <c r="AU44" s="39" t="str">
        <f t="shared" si="13"/>
        <v/>
      </c>
      <c r="AV44" s="35"/>
      <c r="AW44" s="35"/>
      <c r="AX44" s="39" t="str">
        <f t="shared" si="14"/>
        <v/>
      </c>
      <c r="AY44" s="39" t="str">
        <f t="shared" si="15"/>
        <v/>
      </c>
    </row>
    <row r="45" spans="1:51" ht="22.5" customHeight="1">
      <c r="A45" s="35" t="s">
        <v>72</v>
      </c>
      <c r="B45" s="36">
        <v>1</v>
      </c>
      <c r="C45" s="37"/>
      <c r="D45" s="38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>
        <v>0</v>
      </c>
      <c r="AG45" s="35"/>
      <c r="AH45" s="35"/>
      <c r="AI45" s="35"/>
      <c r="AJ45" s="35">
        <v>31.37</v>
      </c>
      <c r="AK45" s="35"/>
      <c r="AL45" s="35">
        <f t="shared" si="8"/>
        <v>31.37</v>
      </c>
      <c r="AM45" s="35">
        <f t="shared" si="9"/>
        <v>31.37</v>
      </c>
      <c r="AN45" s="35">
        <v>337.85</v>
      </c>
      <c r="AO45" s="35">
        <v>152.13</v>
      </c>
      <c r="AP45" s="39">
        <f t="shared" si="10"/>
        <v>306.48</v>
      </c>
      <c r="AQ45" s="39">
        <f t="shared" si="11"/>
        <v>458.61</v>
      </c>
      <c r="AR45" s="35">
        <v>544.95000000000005</v>
      </c>
      <c r="AS45" s="35">
        <v>1076.8599999999999</v>
      </c>
      <c r="AT45" s="39">
        <f t="shared" si="12"/>
        <v>207.10000000000002</v>
      </c>
      <c r="AU45" s="39">
        <f t="shared" si="13"/>
        <v>1283.96</v>
      </c>
      <c r="AV45" s="35"/>
      <c r="AW45" s="35"/>
      <c r="AX45" s="39" t="str">
        <f t="shared" si="14"/>
        <v/>
      </c>
      <c r="AY45" s="39" t="str">
        <f t="shared" si="15"/>
        <v/>
      </c>
    </row>
    <row r="46" spans="1:51" ht="22.5" customHeight="1">
      <c r="A46" s="35" t="s">
        <v>73</v>
      </c>
      <c r="B46" s="36">
        <v>1</v>
      </c>
      <c r="C46" s="37"/>
      <c r="D46" s="38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>
        <v>0</v>
      </c>
      <c r="AG46" s="35"/>
      <c r="AH46" s="35"/>
      <c r="AI46" s="35"/>
      <c r="AJ46" s="35">
        <v>36</v>
      </c>
      <c r="AK46" s="35"/>
      <c r="AL46" s="35">
        <f t="shared" si="8"/>
        <v>36</v>
      </c>
      <c r="AM46" s="35">
        <f t="shared" si="9"/>
        <v>36</v>
      </c>
      <c r="AN46" s="35">
        <v>91</v>
      </c>
      <c r="AO46" s="35">
        <v>48.24</v>
      </c>
      <c r="AP46" s="39">
        <f t="shared" si="10"/>
        <v>55</v>
      </c>
      <c r="AQ46" s="39">
        <f t="shared" si="11"/>
        <v>103.24000000000001</v>
      </c>
      <c r="AR46" s="35">
        <v>178.19</v>
      </c>
      <c r="AS46" s="35">
        <v>226.01</v>
      </c>
      <c r="AT46" s="39">
        <f t="shared" si="12"/>
        <v>87.19</v>
      </c>
      <c r="AU46" s="39">
        <f t="shared" si="13"/>
        <v>313.2</v>
      </c>
      <c r="AV46" s="35"/>
      <c r="AW46" s="35"/>
      <c r="AX46" s="39" t="str">
        <f t="shared" si="14"/>
        <v/>
      </c>
      <c r="AY46" s="39" t="str">
        <f t="shared" si="15"/>
        <v/>
      </c>
    </row>
    <row r="47" spans="1:51" s="51" customFormat="1" ht="22.5" customHeight="1">
      <c r="A47" s="46" t="s">
        <v>74</v>
      </c>
      <c r="B47" s="47">
        <v>10</v>
      </c>
      <c r="C47" s="48"/>
      <c r="D47" s="49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>
        <v>152.26</v>
      </c>
      <c r="AK47" s="50"/>
      <c r="AL47" s="50">
        <f t="shared" si="8"/>
        <v>1522.6</v>
      </c>
      <c r="AM47" s="50">
        <f t="shared" si="9"/>
        <v>1522.6</v>
      </c>
      <c r="AN47" s="50">
        <v>154.75</v>
      </c>
      <c r="AO47" s="50"/>
      <c r="AP47" s="46">
        <f t="shared" si="10"/>
        <v>24.900000000000091</v>
      </c>
      <c r="AQ47" s="46">
        <f t="shared" si="11"/>
        <v>24.900000000000091</v>
      </c>
      <c r="AR47" s="50">
        <v>160.84</v>
      </c>
      <c r="AS47" s="50"/>
      <c r="AT47" s="46">
        <f t="shared" si="12"/>
        <v>60.900000000000034</v>
      </c>
      <c r="AU47" s="46">
        <f t="shared" si="13"/>
        <v>60.900000000000034</v>
      </c>
      <c r="AV47" s="50"/>
      <c r="AW47" s="50"/>
      <c r="AX47" s="46" t="str">
        <f t="shared" si="14"/>
        <v/>
      </c>
      <c r="AY47" s="46" t="str">
        <f t="shared" si="15"/>
        <v/>
      </c>
    </row>
    <row r="48" spans="1:51" s="51" customFormat="1" ht="22.5" customHeight="1">
      <c r="A48" s="52" t="s">
        <v>259</v>
      </c>
      <c r="B48" s="53">
        <v>1</v>
      </c>
      <c r="C48" s="62"/>
      <c r="D48" s="54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 t="str">
        <f t="shared" si="8"/>
        <v/>
      </c>
      <c r="AM48" s="55" t="str">
        <f t="shared" si="9"/>
        <v/>
      </c>
      <c r="AN48" s="55"/>
      <c r="AO48" s="55"/>
      <c r="AP48" s="55" t="str">
        <f t="shared" si="10"/>
        <v/>
      </c>
      <c r="AQ48" s="55" t="str">
        <f t="shared" si="11"/>
        <v/>
      </c>
      <c r="AR48" s="55">
        <v>3064.25</v>
      </c>
      <c r="AS48" s="55"/>
      <c r="AT48" s="55">
        <f t="shared" si="12"/>
        <v>3064.25</v>
      </c>
      <c r="AU48" s="55">
        <f t="shared" si="13"/>
        <v>3064.25</v>
      </c>
      <c r="AV48" s="55"/>
      <c r="AW48" s="55"/>
      <c r="AX48" s="55" t="str">
        <f t="shared" si="14"/>
        <v/>
      </c>
      <c r="AY48" s="55" t="str">
        <f t="shared" si="15"/>
        <v/>
      </c>
    </row>
    <row r="49" spans="1:51" s="51" customFormat="1" ht="22.5" customHeight="1">
      <c r="A49" s="46" t="s">
        <v>75</v>
      </c>
      <c r="B49" s="47">
        <v>40</v>
      </c>
      <c r="C49" s="48"/>
      <c r="D49" s="49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>
        <v>133.97</v>
      </c>
      <c r="AK49" s="50"/>
      <c r="AL49" s="50">
        <f t="shared" si="8"/>
        <v>5358.8</v>
      </c>
      <c r="AM49" s="50">
        <f t="shared" si="9"/>
        <v>5358.8</v>
      </c>
      <c r="AN49" s="50">
        <v>143.75</v>
      </c>
      <c r="AO49" s="50"/>
      <c r="AP49" s="46">
        <f t="shared" si="10"/>
        <v>391.20000000000005</v>
      </c>
      <c r="AQ49" s="46">
        <f t="shared" si="11"/>
        <v>391.20000000000005</v>
      </c>
      <c r="AR49" s="50">
        <v>156.49</v>
      </c>
      <c r="AS49" s="50"/>
      <c r="AT49" s="46">
        <f t="shared" si="12"/>
        <v>509.60000000000036</v>
      </c>
      <c r="AU49" s="46">
        <f t="shared" si="13"/>
        <v>509.60000000000036</v>
      </c>
      <c r="AV49" s="50"/>
      <c r="AW49" s="50"/>
      <c r="AX49" s="46" t="str">
        <f t="shared" si="14"/>
        <v/>
      </c>
      <c r="AY49" s="46" t="str">
        <f t="shared" si="15"/>
        <v/>
      </c>
    </row>
    <row r="50" spans="1:51" s="51" customFormat="1" ht="22.5" customHeight="1">
      <c r="A50" s="52" t="s">
        <v>277</v>
      </c>
      <c r="B50" s="53">
        <v>10</v>
      </c>
      <c r="C50" s="62"/>
      <c r="D50" s="54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 t="str">
        <f t="shared" si="8"/>
        <v/>
      </c>
      <c r="AM50" s="55" t="str">
        <f t="shared" si="9"/>
        <v/>
      </c>
      <c r="AN50" s="55"/>
      <c r="AO50" s="55"/>
      <c r="AP50" s="55" t="str">
        <f t="shared" si="10"/>
        <v/>
      </c>
      <c r="AQ50" s="55" t="str">
        <f t="shared" si="11"/>
        <v/>
      </c>
      <c r="AR50" s="55">
        <v>745.96</v>
      </c>
      <c r="AS50" s="55"/>
      <c r="AT50" s="55">
        <f t="shared" si="12"/>
        <v>7459.6</v>
      </c>
      <c r="AU50" s="55">
        <f t="shared" si="13"/>
        <v>7459.6</v>
      </c>
      <c r="AV50" s="55"/>
      <c r="AW50" s="55"/>
      <c r="AX50" s="55" t="str">
        <f t="shared" si="14"/>
        <v/>
      </c>
      <c r="AY50" s="55" t="str">
        <f t="shared" si="15"/>
        <v/>
      </c>
    </row>
    <row r="51" spans="1:51" s="51" customFormat="1" ht="22.5" customHeight="1">
      <c r="A51" s="52" t="s">
        <v>260</v>
      </c>
      <c r="B51" s="53">
        <v>1</v>
      </c>
      <c r="C51" s="62"/>
      <c r="D51" s="54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 t="str">
        <f t="shared" si="8"/>
        <v/>
      </c>
      <c r="AM51" s="55" t="str">
        <f t="shared" si="9"/>
        <v/>
      </c>
      <c r="AN51" s="55"/>
      <c r="AO51" s="55"/>
      <c r="AP51" s="55" t="str">
        <f t="shared" si="10"/>
        <v/>
      </c>
      <c r="AQ51" s="55" t="str">
        <f t="shared" si="11"/>
        <v/>
      </c>
      <c r="AR51" s="55">
        <v>6253.01</v>
      </c>
      <c r="AS51" s="55"/>
      <c r="AT51" s="55">
        <f t="shared" si="12"/>
        <v>6253.01</v>
      </c>
      <c r="AU51" s="55">
        <f t="shared" si="13"/>
        <v>6253.01</v>
      </c>
      <c r="AV51" s="55"/>
      <c r="AW51" s="55"/>
      <c r="AX51" s="55" t="str">
        <f t="shared" si="14"/>
        <v/>
      </c>
      <c r="AY51" s="55" t="str">
        <f t="shared" si="15"/>
        <v/>
      </c>
    </row>
    <row r="52" spans="1:51" s="51" customFormat="1" ht="22.5" customHeight="1">
      <c r="A52" s="52" t="s">
        <v>278</v>
      </c>
      <c r="B52" s="53">
        <v>40</v>
      </c>
      <c r="C52" s="62"/>
      <c r="D52" s="54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 t="str">
        <f t="shared" si="8"/>
        <v/>
      </c>
      <c r="AM52" s="55" t="str">
        <f t="shared" si="9"/>
        <v/>
      </c>
      <c r="AN52" s="55"/>
      <c r="AO52" s="55"/>
      <c r="AP52" s="55" t="str">
        <f t="shared" si="10"/>
        <v/>
      </c>
      <c r="AQ52" s="55" t="str">
        <f t="shared" si="11"/>
        <v/>
      </c>
      <c r="AR52" s="55">
        <v>398.82</v>
      </c>
      <c r="AS52" s="55"/>
      <c r="AT52" s="55">
        <f t="shared" si="12"/>
        <v>15952.8</v>
      </c>
      <c r="AU52" s="55">
        <f t="shared" si="13"/>
        <v>15952.8</v>
      </c>
      <c r="AV52" s="55"/>
      <c r="AW52" s="55"/>
      <c r="AX52" s="55" t="str">
        <f t="shared" si="14"/>
        <v/>
      </c>
      <c r="AY52" s="55" t="str">
        <f t="shared" si="15"/>
        <v/>
      </c>
    </row>
    <row r="53" spans="1:51" ht="22.5" customHeight="1">
      <c r="A53" s="35" t="s">
        <v>76</v>
      </c>
      <c r="B53" s="36">
        <v>20</v>
      </c>
      <c r="C53" s="37"/>
      <c r="D53" s="38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9" t="str">
        <f t="shared" si="12"/>
        <v/>
      </c>
      <c r="AU53" s="39" t="str">
        <f t="shared" si="13"/>
        <v/>
      </c>
      <c r="AV53" s="35"/>
      <c r="AW53" s="35"/>
      <c r="AX53" s="39" t="str">
        <f t="shared" si="14"/>
        <v/>
      </c>
      <c r="AY53" s="39" t="str">
        <f t="shared" si="15"/>
        <v/>
      </c>
    </row>
    <row r="54" spans="1:51" ht="22.5" customHeight="1">
      <c r="A54" s="35" t="s">
        <v>231</v>
      </c>
      <c r="B54" s="36">
        <v>30</v>
      </c>
      <c r="C54" s="37"/>
      <c r="D54" s="38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9" t="str">
        <f t="shared" si="12"/>
        <v/>
      </c>
      <c r="AU54" s="39" t="str">
        <f t="shared" si="13"/>
        <v/>
      </c>
      <c r="AV54" s="35"/>
      <c r="AW54" s="35"/>
      <c r="AX54" s="39" t="str">
        <f t="shared" si="14"/>
        <v/>
      </c>
      <c r="AY54" s="39" t="str">
        <f t="shared" si="15"/>
        <v/>
      </c>
    </row>
    <row r="55" spans="1:51" ht="22.5" customHeight="1">
      <c r="A55" s="35" t="s">
        <v>77</v>
      </c>
      <c r="B55" s="36">
        <v>50</v>
      </c>
      <c r="C55" s="37">
        <v>0</v>
      </c>
      <c r="D55" s="38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9" t="str">
        <f t="shared" si="12"/>
        <v/>
      </c>
      <c r="AU55" s="39" t="str">
        <f t="shared" si="13"/>
        <v/>
      </c>
      <c r="AV55" s="35"/>
      <c r="AW55" s="35"/>
      <c r="AX55" s="39" t="str">
        <f t="shared" si="14"/>
        <v/>
      </c>
      <c r="AY55" s="39" t="str">
        <f t="shared" si="15"/>
        <v/>
      </c>
    </row>
    <row r="56" spans="1:51" s="51" customFormat="1" ht="22.5" customHeight="1">
      <c r="A56" s="50" t="s">
        <v>78</v>
      </c>
      <c r="B56" s="47">
        <v>10</v>
      </c>
      <c r="C56" s="48"/>
      <c r="D56" s="49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>
        <v>145.16999999999999</v>
      </c>
      <c r="AS56" s="50"/>
      <c r="AT56" s="46">
        <f t="shared" si="12"/>
        <v>1451.6999999999998</v>
      </c>
      <c r="AU56" s="46">
        <f t="shared" si="13"/>
        <v>1451.6999999999998</v>
      </c>
      <c r="AV56" s="50"/>
      <c r="AW56" s="50"/>
      <c r="AX56" s="46" t="str">
        <f t="shared" si="14"/>
        <v/>
      </c>
      <c r="AY56" s="46" t="str">
        <f t="shared" si="15"/>
        <v/>
      </c>
    </row>
    <row r="57" spans="1:51" s="51" customFormat="1" ht="22.5" customHeight="1">
      <c r="A57" s="52" t="s">
        <v>261</v>
      </c>
      <c r="B57" s="53"/>
      <c r="C57" s="62"/>
      <c r="D57" s="54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 t="str">
        <f>IF(AJ57="","",IF(AF57="",(AJ57-C57)*B57,(AJ57-AF57)*B57))</f>
        <v/>
      </c>
      <c r="AM57" s="55" t="str">
        <f>IF(AL57="","",AK57+AL57)</f>
        <v/>
      </c>
      <c r="AN57" s="55"/>
      <c r="AO57" s="55"/>
      <c r="AP57" s="55" t="str">
        <f>IF(AN57="","",IF(AJ57="",(AN57-C57)*B57,(AN57-AJ57)*B57))</f>
        <v/>
      </c>
      <c r="AQ57" s="55" t="str">
        <f>IF(AP57="","",AP57+AO57)</f>
        <v/>
      </c>
      <c r="AR57" s="55">
        <v>1294.32</v>
      </c>
      <c r="AS57" s="55"/>
      <c r="AT57" s="55">
        <f t="shared" si="12"/>
        <v>0</v>
      </c>
      <c r="AU57" s="55">
        <f t="shared" si="13"/>
        <v>0</v>
      </c>
      <c r="AV57" s="55"/>
      <c r="AW57" s="55"/>
      <c r="AX57" s="55" t="str">
        <f t="shared" si="14"/>
        <v/>
      </c>
      <c r="AY57" s="55" t="str">
        <f t="shared" si="15"/>
        <v/>
      </c>
    </row>
    <row r="58" spans="1:51" s="51" customFormat="1" ht="22.5" customHeight="1">
      <c r="A58" s="50" t="s">
        <v>79</v>
      </c>
      <c r="B58" s="47">
        <v>40</v>
      </c>
      <c r="C58" s="48"/>
      <c r="D58" s="49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>
        <v>370.62</v>
      </c>
      <c r="AS58" s="50"/>
      <c r="AT58" s="46">
        <f t="shared" si="12"/>
        <v>14824.8</v>
      </c>
      <c r="AU58" s="46">
        <f t="shared" si="13"/>
        <v>14824.8</v>
      </c>
      <c r="AV58" s="50"/>
      <c r="AW58" s="50"/>
      <c r="AX58" s="46" t="str">
        <f t="shared" si="14"/>
        <v/>
      </c>
      <c r="AY58" s="46" t="str">
        <f t="shared" si="15"/>
        <v/>
      </c>
    </row>
    <row r="59" spans="1:51" s="51" customFormat="1" ht="22.5" customHeight="1">
      <c r="A59" s="52" t="s">
        <v>279</v>
      </c>
      <c r="B59" s="53">
        <v>10</v>
      </c>
      <c r="C59" s="62"/>
      <c r="D59" s="54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 t="str">
        <f t="shared" ref="AL59:AL66" si="16">IF(AJ59="","",IF(AF59="",(AJ59-C59)*B59,(AJ59-AF59)*B59))</f>
        <v/>
      </c>
      <c r="AM59" s="55" t="str">
        <f t="shared" ref="AM59:AM66" si="17">IF(AL59="","",AK59+AL59)</f>
        <v/>
      </c>
      <c r="AN59" s="55"/>
      <c r="AO59" s="55"/>
      <c r="AP59" s="55" t="str">
        <f t="shared" ref="AP59:AP66" si="18">IF(AN59="","",IF(AJ59="",(AN59-C59)*B59,(AN59-AJ59)*B59))</f>
        <v/>
      </c>
      <c r="AQ59" s="55" t="str">
        <f t="shared" ref="AQ59:AQ66" si="19">IF(AP59="","",AP59+AO59)</f>
        <v/>
      </c>
      <c r="AR59" s="55">
        <v>251.59</v>
      </c>
      <c r="AS59" s="55"/>
      <c r="AT59" s="55">
        <f t="shared" si="12"/>
        <v>2515.9</v>
      </c>
      <c r="AU59" s="55">
        <f t="shared" si="13"/>
        <v>2515.9</v>
      </c>
      <c r="AV59" s="55"/>
      <c r="AW59" s="55"/>
      <c r="AX59" s="55" t="str">
        <f t="shared" si="14"/>
        <v/>
      </c>
      <c r="AY59" s="55" t="str">
        <f t="shared" si="15"/>
        <v/>
      </c>
    </row>
    <row r="60" spans="1:51" s="51" customFormat="1" ht="22.5" customHeight="1">
      <c r="A60" s="52" t="s">
        <v>280</v>
      </c>
      <c r="B60" s="53">
        <v>1</v>
      </c>
      <c r="C60" s="62"/>
      <c r="D60" s="54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 t="str">
        <f t="shared" si="16"/>
        <v/>
      </c>
      <c r="AM60" s="55" t="str">
        <f t="shared" si="17"/>
        <v/>
      </c>
      <c r="AN60" s="55"/>
      <c r="AO60" s="55"/>
      <c r="AP60" s="55" t="str">
        <f t="shared" si="18"/>
        <v/>
      </c>
      <c r="AQ60" s="55" t="str">
        <f t="shared" si="19"/>
        <v/>
      </c>
      <c r="AR60" s="55">
        <v>3408.48</v>
      </c>
      <c r="AS60" s="55"/>
      <c r="AT60" s="55">
        <f t="shared" si="12"/>
        <v>3408.48</v>
      </c>
      <c r="AU60" s="55">
        <f t="shared" si="13"/>
        <v>3408.48</v>
      </c>
      <c r="AV60" s="55"/>
      <c r="AW60" s="55"/>
      <c r="AX60" s="55" t="str">
        <f t="shared" si="14"/>
        <v/>
      </c>
      <c r="AY60" s="55" t="str">
        <f t="shared" si="15"/>
        <v/>
      </c>
    </row>
    <row r="61" spans="1:51" s="51" customFormat="1" ht="22.5" customHeight="1">
      <c r="A61" s="52" t="s">
        <v>281</v>
      </c>
      <c r="B61" s="53">
        <v>40</v>
      </c>
      <c r="C61" s="62"/>
      <c r="D61" s="54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 t="str">
        <f t="shared" si="16"/>
        <v/>
      </c>
      <c r="AM61" s="55" t="str">
        <f t="shared" si="17"/>
        <v/>
      </c>
      <c r="AN61" s="55"/>
      <c r="AO61" s="55"/>
      <c r="AP61" s="55" t="str">
        <f t="shared" si="18"/>
        <v/>
      </c>
      <c r="AQ61" s="55" t="str">
        <f t="shared" si="19"/>
        <v/>
      </c>
      <c r="AR61" s="55">
        <v>566.94000000000005</v>
      </c>
      <c r="AS61" s="55"/>
      <c r="AT61" s="55">
        <f t="shared" si="12"/>
        <v>22677.600000000002</v>
      </c>
      <c r="AU61" s="55">
        <f t="shared" si="13"/>
        <v>22677.600000000002</v>
      </c>
      <c r="AV61" s="55"/>
      <c r="AW61" s="55"/>
      <c r="AX61" s="55" t="str">
        <f t="shared" si="14"/>
        <v/>
      </c>
      <c r="AY61" s="55" t="str">
        <f t="shared" si="15"/>
        <v/>
      </c>
    </row>
    <row r="62" spans="1:51" s="61" customFormat="1" ht="22.5" customHeight="1">
      <c r="A62" s="56" t="s">
        <v>235</v>
      </c>
      <c r="B62" s="57">
        <v>20</v>
      </c>
      <c r="C62" s="58">
        <v>198.38</v>
      </c>
      <c r="D62" s="59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 t="str">
        <f t="shared" si="16"/>
        <v/>
      </c>
      <c r="AM62" s="60" t="str">
        <f t="shared" si="17"/>
        <v/>
      </c>
      <c r="AN62" s="60">
        <v>198.38</v>
      </c>
      <c r="AO62" s="60"/>
      <c r="AP62" s="60">
        <f t="shared" si="18"/>
        <v>0</v>
      </c>
      <c r="AQ62" s="60">
        <f t="shared" si="19"/>
        <v>0</v>
      </c>
      <c r="AR62" s="60">
        <v>207.97</v>
      </c>
      <c r="AS62" s="60"/>
      <c r="AT62" s="60">
        <f t="shared" si="12"/>
        <v>191.80000000000007</v>
      </c>
      <c r="AU62" s="60">
        <f t="shared" si="13"/>
        <v>191.80000000000007</v>
      </c>
      <c r="AV62" s="60"/>
      <c r="AW62" s="60"/>
      <c r="AX62" s="60" t="str">
        <f t="shared" si="14"/>
        <v/>
      </c>
      <c r="AY62" s="60" t="str">
        <f t="shared" si="15"/>
        <v/>
      </c>
    </row>
    <row r="63" spans="1:51" s="51" customFormat="1" ht="22.5" customHeight="1">
      <c r="A63" s="52" t="s">
        <v>250</v>
      </c>
      <c r="B63" s="53">
        <v>10</v>
      </c>
      <c r="C63" s="62"/>
      <c r="D63" s="54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 t="str">
        <f t="shared" si="16"/>
        <v/>
      </c>
      <c r="AM63" s="55" t="str">
        <f t="shared" si="17"/>
        <v/>
      </c>
      <c r="AN63" s="55"/>
      <c r="AO63" s="55"/>
      <c r="AP63" s="55" t="str">
        <f t="shared" si="18"/>
        <v/>
      </c>
      <c r="AQ63" s="55" t="str">
        <f t="shared" si="19"/>
        <v/>
      </c>
      <c r="AR63" s="55">
        <v>253.28</v>
      </c>
      <c r="AS63" s="55"/>
      <c r="AT63" s="55">
        <f t="shared" si="12"/>
        <v>2532.8000000000002</v>
      </c>
      <c r="AU63" s="55">
        <f t="shared" si="13"/>
        <v>2532.8000000000002</v>
      </c>
      <c r="AV63" s="55"/>
      <c r="AW63" s="55"/>
      <c r="AX63" s="55" t="str">
        <f t="shared" si="14"/>
        <v/>
      </c>
      <c r="AY63" s="55" t="str">
        <f t="shared" si="15"/>
        <v/>
      </c>
    </row>
    <row r="64" spans="1:51" s="51" customFormat="1" ht="22.5" customHeight="1">
      <c r="A64" s="52" t="s">
        <v>262</v>
      </c>
      <c r="B64" s="53"/>
      <c r="C64" s="62"/>
      <c r="D64" s="54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 t="str">
        <f t="shared" si="16"/>
        <v/>
      </c>
      <c r="AM64" s="55" t="str">
        <f t="shared" si="17"/>
        <v/>
      </c>
      <c r="AN64" s="55"/>
      <c r="AO64" s="55"/>
      <c r="AP64" s="55" t="str">
        <f t="shared" si="18"/>
        <v/>
      </c>
      <c r="AQ64" s="55" t="str">
        <f t="shared" si="19"/>
        <v/>
      </c>
      <c r="AR64" s="55">
        <v>1057.6199999999999</v>
      </c>
      <c r="AS64" s="55"/>
      <c r="AT64" s="55">
        <f t="shared" si="12"/>
        <v>0</v>
      </c>
      <c r="AU64" s="55">
        <f t="shared" si="13"/>
        <v>0</v>
      </c>
      <c r="AV64" s="55"/>
      <c r="AW64" s="55"/>
      <c r="AX64" s="55" t="str">
        <f t="shared" si="14"/>
        <v/>
      </c>
      <c r="AY64" s="55" t="str">
        <f t="shared" si="15"/>
        <v/>
      </c>
    </row>
    <row r="65" spans="1:51" s="51" customFormat="1" ht="22.5" customHeight="1">
      <c r="A65" s="52" t="s">
        <v>251</v>
      </c>
      <c r="B65" s="53">
        <v>40</v>
      </c>
      <c r="C65" s="62"/>
      <c r="D65" s="54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 t="str">
        <f t="shared" si="16"/>
        <v/>
      </c>
      <c r="AM65" s="55" t="str">
        <f t="shared" si="17"/>
        <v/>
      </c>
      <c r="AN65" s="55"/>
      <c r="AO65" s="55"/>
      <c r="AP65" s="55" t="str">
        <f t="shared" si="18"/>
        <v/>
      </c>
      <c r="AQ65" s="55" t="str">
        <f t="shared" si="19"/>
        <v/>
      </c>
      <c r="AR65" s="55">
        <v>550.77</v>
      </c>
      <c r="AS65" s="55"/>
      <c r="AT65" s="55">
        <f t="shared" si="12"/>
        <v>22030.799999999999</v>
      </c>
      <c r="AU65" s="55">
        <f t="shared" si="13"/>
        <v>22030.799999999999</v>
      </c>
      <c r="AV65" s="55"/>
      <c r="AW65" s="55"/>
      <c r="AX65" s="55" t="str">
        <f t="shared" si="14"/>
        <v/>
      </c>
      <c r="AY65" s="55" t="str">
        <f t="shared" si="15"/>
        <v/>
      </c>
    </row>
    <row r="66" spans="1:51" ht="22.5" customHeight="1">
      <c r="A66" s="40" t="s">
        <v>276</v>
      </c>
      <c r="B66" s="41">
        <v>20</v>
      </c>
      <c r="C66" s="42"/>
      <c r="D66" s="43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 t="str">
        <f t="shared" si="16"/>
        <v/>
      </c>
      <c r="AM66" s="44" t="str">
        <f t="shared" si="17"/>
        <v/>
      </c>
      <c r="AN66" s="44"/>
      <c r="AO66" s="44"/>
      <c r="AP66" s="44" t="str">
        <f t="shared" si="18"/>
        <v/>
      </c>
      <c r="AQ66" s="44" t="str">
        <f t="shared" si="19"/>
        <v/>
      </c>
      <c r="AR66" s="44">
        <v>405.46</v>
      </c>
      <c r="AS66" s="44"/>
      <c r="AT66" s="44">
        <f t="shared" si="12"/>
        <v>8109.2</v>
      </c>
      <c r="AU66" s="44">
        <f t="shared" si="13"/>
        <v>8109.2</v>
      </c>
      <c r="AV66" s="44"/>
      <c r="AW66" s="44"/>
      <c r="AX66" s="44" t="str">
        <f t="shared" si="14"/>
        <v/>
      </c>
      <c r="AY66" s="44" t="str">
        <f t="shared" si="15"/>
        <v/>
      </c>
    </row>
    <row r="67" spans="1:51" ht="22.5" customHeight="1">
      <c r="A67" s="35" t="s">
        <v>80</v>
      </c>
      <c r="B67" s="36">
        <v>1</v>
      </c>
      <c r="C67" s="35">
        <v>0</v>
      </c>
      <c r="D67" s="38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9" t="str">
        <f t="shared" si="12"/>
        <v/>
      </c>
      <c r="AU67" s="39" t="str">
        <f t="shared" si="13"/>
        <v/>
      </c>
      <c r="AV67" s="35"/>
      <c r="AW67" s="35"/>
      <c r="AX67" s="39" t="str">
        <f t="shared" si="14"/>
        <v/>
      </c>
      <c r="AY67" s="39" t="str">
        <f t="shared" si="15"/>
        <v/>
      </c>
    </row>
    <row r="68" spans="1:51" s="51" customFormat="1" ht="22.5" customHeight="1">
      <c r="A68" s="35" t="s">
        <v>81</v>
      </c>
      <c r="B68" s="36">
        <v>1</v>
      </c>
      <c r="C68" s="35">
        <v>0</v>
      </c>
      <c r="D68" s="38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9" t="str">
        <f t="shared" ref="AT68:AT99" si="20">IF(AR68="","",(AR68-AN68)*B68)</f>
        <v/>
      </c>
      <c r="AU68" s="39" t="str">
        <f t="shared" ref="AU68:AU99" si="21">IF(AR68="","",AS68+AT68)</f>
        <v/>
      </c>
      <c r="AV68" s="35"/>
      <c r="AW68" s="35"/>
      <c r="AX68" s="39" t="str">
        <f t="shared" ref="AX68:AX99" si="22">IF(AV68="","",(AV68-AR68)*B68)</f>
        <v/>
      </c>
      <c r="AY68" s="39" t="str">
        <f t="shared" ref="AY68:AY99" si="23">IF(AV68="","",AW68+AX68)</f>
        <v/>
      </c>
    </row>
    <row r="69" spans="1:51" ht="22.5" customHeight="1">
      <c r="A69" s="35" t="s">
        <v>230</v>
      </c>
      <c r="B69" s="36">
        <v>1</v>
      </c>
      <c r="C69" s="35">
        <v>0</v>
      </c>
      <c r="D69" s="38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9" t="str">
        <f t="shared" si="20"/>
        <v/>
      </c>
      <c r="AU69" s="39" t="str">
        <f t="shared" si="21"/>
        <v/>
      </c>
      <c r="AV69" s="35"/>
      <c r="AW69" s="35"/>
      <c r="AX69" s="39" t="str">
        <f t="shared" si="22"/>
        <v/>
      </c>
      <c r="AY69" s="39" t="str">
        <f t="shared" si="23"/>
        <v/>
      </c>
    </row>
    <row r="70" spans="1:51" s="51" customFormat="1" ht="16">
      <c r="A70" s="40" t="s">
        <v>274</v>
      </c>
      <c r="B70" s="41">
        <v>20</v>
      </c>
      <c r="C70" s="42"/>
      <c r="D70" s="43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 t="str">
        <f t="shared" ref="AL70:AL78" si="24">IF(AJ70="","",IF(AF70="",(AJ70-C70)*B70,(AJ70-AF70)*B70))</f>
        <v/>
      </c>
      <c r="AM70" s="44" t="str">
        <f t="shared" ref="AM70:AM78" si="25">IF(AL70="","",AK70+AL70)</f>
        <v/>
      </c>
      <c r="AN70" s="44"/>
      <c r="AO70" s="44"/>
      <c r="AP70" s="44" t="str">
        <f t="shared" ref="AP70:AP78" si="26">IF(AN70="","",IF(AJ70="",(AN70-C70)*B70,(AN70-AJ70)*B70))</f>
        <v/>
      </c>
      <c r="AQ70" s="44" t="str">
        <f t="shared" ref="AQ70:AQ78" si="27">IF(AP70="","",AP70+AO70)</f>
        <v/>
      </c>
      <c r="AR70" s="44">
        <v>497.41</v>
      </c>
      <c r="AS70" s="44"/>
      <c r="AT70" s="44">
        <f t="shared" si="20"/>
        <v>9948.2000000000007</v>
      </c>
      <c r="AU70" s="44">
        <f t="shared" si="21"/>
        <v>9948.2000000000007</v>
      </c>
      <c r="AV70" s="44"/>
      <c r="AW70" s="44"/>
      <c r="AX70" s="44" t="str">
        <f t="shared" si="22"/>
        <v/>
      </c>
      <c r="AY70" s="44" t="str">
        <f t="shared" si="23"/>
        <v/>
      </c>
    </row>
    <row r="71" spans="1:51" ht="17">
      <c r="A71" s="35" t="s">
        <v>82</v>
      </c>
      <c r="B71" s="36">
        <v>1</v>
      </c>
      <c r="C71" s="37"/>
      <c r="D71" s="38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>
        <v>56.03</v>
      </c>
      <c r="AG71" s="35"/>
      <c r="AH71" s="35"/>
      <c r="AI71" s="35"/>
      <c r="AJ71" s="35">
        <v>138.43</v>
      </c>
      <c r="AK71" s="35"/>
      <c r="AL71" s="35">
        <f t="shared" si="24"/>
        <v>82.4</v>
      </c>
      <c r="AM71" s="35">
        <f t="shared" si="25"/>
        <v>82.4</v>
      </c>
      <c r="AN71" s="35">
        <v>243.24</v>
      </c>
      <c r="AO71" s="35"/>
      <c r="AP71" s="39">
        <f t="shared" si="26"/>
        <v>104.81</v>
      </c>
      <c r="AQ71" s="39">
        <f t="shared" si="27"/>
        <v>104.81</v>
      </c>
      <c r="AR71" s="35">
        <v>471.42</v>
      </c>
      <c r="AS71" s="35"/>
      <c r="AT71" s="39">
        <f t="shared" si="20"/>
        <v>228.18</v>
      </c>
      <c r="AU71" s="39">
        <f t="shared" si="21"/>
        <v>228.18</v>
      </c>
      <c r="AV71" s="35"/>
      <c r="AW71" s="35"/>
      <c r="AX71" s="39" t="str">
        <f t="shared" si="22"/>
        <v/>
      </c>
      <c r="AY71" s="39" t="str">
        <f t="shared" si="23"/>
        <v/>
      </c>
    </row>
    <row r="72" spans="1:51" ht="17">
      <c r="A72" s="35" t="s">
        <v>83</v>
      </c>
      <c r="B72" s="36">
        <v>1</v>
      </c>
      <c r="C72" s="37"/>
      <c r="D72" s="38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>
        <v>146.28</v>
      </c>
      <c r="AG72" s="35"/>
      <c r="AH72" s="35"/>
      <c r="AI72" s="35"/>
      <c r="AJ72" s="35">
        <v>396.46</v>
      </c>
      <c r="AK72" s="35"/>
      <c r="AL72" s="35">
        <f t="shared" si="24"/>
        <v>250.17999999999998</v>
      </c>
      <c r="AM72" s="35">
        <f t="shared" si="25"/>
        <v>250.17999999999998</v>
      </c>
      <c r="AN72" s="35">
        <v>890.11</v>
      </c>
      <c r="AO72" s="35"/>
      <c r="AP72" s="39">
        <f t="shared" si="26"/>
        <v>493.65000000000003</v>
      </c>
      <c r="AQ72" s="39">
        <f t="shared" si="27"/>
        <v>493.65000000000003</v>
      </c>
      <c r="AR72" s="35">
        <v>1591.98</v>
      </c>
      <c r="AS72" s="35"/>
      <c r="AT72" s="39">
        <f t="shared" si="20"/>
        <v>701.87</v>
      </c>
      <c r="AU72" s="39">
        <f t="shared" si="21"/>
        <v>701.87</v>
      </c>
      <c r="AV72" s="35"/>
      <c r="AW72" s="35"/>
      <c r="AX72" s="39" t="str">
        <f t="shared" si="22"/>
        <v/>
      </c>
      <c r="AY72" s="39" t="str">
        <f t="shared" si="23"/>
        <v/>
      </c>
    </row>
    <row r="73" spans="1:51" s="51" customFormat="1" ht="17">
      <c r="A73" s="46" t="s">
        <v>275</v>
      </c>
      <c r="B73" s="47">
        <v>10</v>
      </c>
      <c r="C73" s="48"/>
      <c r="D73" s="49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>
        <v>155.44999999999999</v>
      </c>
      <c r="AK73" s="50"/>
      <c r="AL73" s="50">
        <f t="shared" si="24"/>
        <v>1554.5</v>
      </c>
      <c r="AM73" s="50">
        <f t="shared" si="25"/>
        <v>1554.5</v>
      </c>
      <c r="AN73" s="50"/>
      <c r="AO73" s="50"/>
      <c r="AP73" s="46" t="str">
        <f t="shared" si="26"/>
        <v/>
      </c>
      <c r="AQ73" s="46" t="str">
        <f t="shared" si="27"/>
        <v/>
      </c>
      <c r="AR73" s="50">
        <v>163.07</v>
      </c>
      <c r="AS73" s="50"/>
      <c r="AT73" s="46">
        <f t="shared" si="20"/>
        <v>1630.6999999999998</v>
      </c>
      <c r="AU73" s="46">
        <f t="shared" si="21"/>
        <v>1630.6999999999998</v>
      </c>
      <c r="AV73" s="50"/>
      <c r="AW73" s="50"/>
      <c r="AX73" s="46" t="str">
        <f t="shared" si="22"/>
        <v/>
      </c>
      <c r="AY73" s="46" t="str">
        <f t="shared" si="23"/>
        <v/>
      </c>
    </row>
    <row r="74" spans="1:51" s="51" customFormat="1" ht="16">
      <c r="A74" s="52" t="s">
        <v>263</v>
      </c>
      <c r="B74" s="53">
        <v>1</v>
      </c>
      <c r="C74" s="62"/>
      <c r="D74" s="54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 t="str">
        <f t="shared" si="24"/>
        <v/>
      </c>
      <c r="AM74" s="55" t="str">
        <f t="shared" si="25"/>
        <v/>
      </c>
      <c r="AN74" s="55"/>
      <c r="AO74" s="55"/>
      <c r="AP74" s="55" t="str">
        <f t="shared" si="26"/>
        <v/>
      </c>
      <c r="AQ74" s="55" t="str">
        <f t="shared" si="27"/>
        <v/>
      </c>
      <c r="AR74" s="55">
        <v>3594.3</v>
      </c>
      <c r="AS74" s="55"/>
      <c r="AT74" s="55">
        <f t="shared" si="20"/>
        <v>3594.3</v>
      </c>
      <c r="AU74" s="55">
        <f t="shared" si="21"/>
        <v>3594.3</v>
      </c>
      <c r="AV74" s="55"/>
      <c r="AW74" s="55"/>
      <c r="AX74" s="55" t="str">
        <f t="shared" si="22"/>
        <v/>
      </c>
      <c r="AY74" s="55" t="str">
        <f t="shared" si="23"/>
        <v/>
      </c>
    </row>
    <row r="75" spans="1:51" s="51" customFormat="1" ht="17">
      <c r="A75" s="46" t="s">
        <v>84</v>
      </c>
      <c r="B75" s="47">
        <v>40</v>
      </c>
      <c r="C75" s="48"/>
      <c r="D75" s="49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>
        <v>432.97</v>
      </c>
      <c r="AK75" s="50"/>
      <c r="AL75" s="50">
        <f t="shared" si="24"/>
        <v>17318.800000000003</v>
      </c>
      <c r="AM75" s="50">
        <f t="shared" si="25"/>
        <v>17318.800000000003</v>
      </c>
      <c r="AN75" s="50"/>
      <c r="AO75" s="50"/>
      <c r="AP75" s="46" t="str">
        <f t="shared" si="26"/>
        <v/>
      </c>
      <c r="AQ75" s="46" t="str">
        <f t="shared" si="27"/>
        <v/>
      </c>
      <c r="AR75" s="50">
        <v>489.04</v>
      </c>
      <c r="AS75" s="50"/>
      <c r="AT75" s="46">
        <f t="shared" si="20"/>
        <v>19561.600000000002</v>
      </c>
      <c r="AU75" s="46">
        <f t="shared" si="21"/>
        <v>19561.600000000002</v>
      </c>
      <c r="AV75" s="50"/>
      <c r="AW75" s="50"/>
      <c r="AX75" s="46" t="str">
        <f t="shared" si="22"/>
        <v/>
      </c>
      <c r="AY75" s="46" t="str">
        <f t="shared" si="23"/>
        <v/>
      </c>
    </row>
    <row r="76" spans="1:51" s="51" customFormat="1" ht="16">
      <c r="A76" s="52" t="s">
        <v>282</v>
      </c>
      <c r="B76" s="53">
        <v>10</v>
      </c>
      <c r="C76" s="62"/>
      <c r="D76" s="54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 t="str">
        <f t="shared" si="24"/>
        <v/>
      </c>
      <c r="AM76" s="55" t="str">
        <f t="shared" si="25"/>
        <v/>
      </c>
      <c r="AN76" s="55"/>
      <c r="AO76" s="55"/>
      <c r="AP76" s="55" t="str">
        <f t="shared" si="26"/>
        <v/>
      </c>
      <c r="AQ76" s="55" t="str">
        <f t="shared" si="27"/>
        <v/>
      </c>
      <c r="AR76" s="55">
        <v>181.99</v>
      </c>
      <c r="AS76" s="55"/>
      <c r="AT76" s="55">
        <f t="shared" si="20"/>
        <v>1819.9</v>
      </c>
      <c r="AU76" s="55">
        <f t="shared" si="21"/>
        <v>1819.9</v>
      </c>
      <c r="AV76" s="55"/>
      <c r="AW76" s="55"/>
      <c r="AX76" s="55" t="str">
        <f t="shared" si="22"/>
        <v/>
      </c>
      <c r="AY76" s="55" t="str">
        <f t="shared" si="23"/>
        <v/>
      </c>
    </row>
    <row r="77" spans="1:51" s="51" customFormat="1" ht="16">
      <c r="A77" s="52" t="s">
        <v>264</v>
      </c>
      <c r="B77" s="53">
        <v>1</v>
      </c>
      <c r="C77" s="62"/>
      <c r="D77" s="54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 t="str">
        <f t="shared" si="24"/>
        <v/>
      </c>
      <c r="AM77" s="55" t="str">
        <f t="shared" si="25"/>
        <v/>
      </c>
      <c r="AN77" s="55"/>
      <c r="AO77" s="55"/>
      <c r="AP77" s="55" t="str">
        <f t="shared" si="26"/>
        <v/>
      </c>
      <c r="AQ77" s="55" t="str">
        <f t="shared" si="27"/>
        <v/>
      </c>
      <c r="AR77" s="55">
        <v>958.35</v>
      </c>
      <c r="AS77" s="55"/>
      <c r="AT77" s="55">
        <f t="shared" si="20"/>
        <v>958.35</v>
      </c>
      <c r="AU77" s="55">
        <f t="shared" si="21"/>
        <v>958.35</v>
      </c>
      <c r="AV77" s="55"/>
      <c r="AW77" s="55"/>
      <c r="AX77" s="55" t="str">
        <f t="shared" si="22"/>
        <v/>
      </c>
      <c r="AY77" s="55" t="str">
        <f t="shared" si="23"/>
        <v/>
      </c>
    </row>
    <row r="78" spans="1:51" s="51" customFormat="1" ht="14.25" customHeight="1">
      <c r="A78" s="52" t="s">
        <v>283</v>
      </c>
      <c r="B78" s="53">
        <v>40</v>
      </c>
      <c r="C78" s="62"/>
      <c r="D78" s="54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 t="str">
        <f t="shared" si="24"/>
        <v/>
      </c>
      <c r="AM78" s="55" t="str">
        <f t="shared" si="25"/>
        <v/>
      </c>
      <c r="AN78" s="55"/>
      <c r="AO78" s="55"/>
      <c r="AP78" s="55" t="str">
        <f t="shared" si="26"/>
        <v/>
      </c>
      <c r="AQ78" s="55" t="str">
        <f t="shared" si="27"/>
        <v/>
      </c>
      <c r="AR78" s="55">
        <v>401.93</v>
      </c>
      <c r="AS78" s="55"/>
      <c r="AT78" s="55">
        <f t="shared" si="20"/>
        <v>16077.2</v>
      </c>
      <c r="AU78" s="55">
        <f t="shared" si="21"/>
        <v>16077.2</v>
      </c>
      <c r="AV78" s="55"/>
      <c r="AW78" s="55"/>
      <c r="AX78" s="55" t="str">
        <f t="shared" si="22"/>
        <v/>
      </c>
      <c r="AY78" s="55" t="str">
        <f t="shared" si="23"/>
        <v/>
      </c>
    </row>
    <row r="79" spans="1:51" ht="17">
      <c r="A79" s="35" t="s">
        <v>85</v>
      </c>
      <c r="B79" s="36">
        <v>20</v>
      </c>
      <c r="C79" s="37">
        <v>345.31</v>
      </c>
      <c r="D79" s="38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9" t="str">
        <f t="shared" si="20"/>
        <v/>
      </c>
      <c r="AU79" s="39" t="str">
        <f t="shared" si="21"/>
        <v/>
      </c>
      <c r="AV79" s="35"/>
      <c r="AW79" s="35"/>
      <c r="AX79" s="39" t="str">
        <f t="shared" si="22"/>
        <v/>
      </c>
      <c r="AY79" s="39" t="str">
        <f t="shared" si="23"/>
        <v/>
      </c>
    </row>
    <row r="80" spans="1:51" ht="17">
      <c r="A80" s="35" t="s">
        <v>86</v>
      </c>
      <c r="B80" s="36">
        <v>10</v>
      </c>
      <c r="C80" s="37"/>
      <c r="D80" s="38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>
        <v>157.35</v>
      </c>
      <c r="AS80" s="35"/>
      <c r="AT80" s="39">
        <f t="shared" si="20"/>
        <v>1573.5</v>
      </c>
      <c r="AU80" s="39">
        <f t="shared" si="21"/>
        <v>1573.5</v>
      </c>
      <c r="AV80" s="35"/>
      <c r="AW80" s="35"/>
      <c r="AX80" s="39" t="str">
        <f t="shared" si="22"/>
        <v/>
      </c>
      <c r="AY80" s="39" t="str">
        <f t="shared" si="23"/>
        <v/>
      </c>
    </row>
    <row r="81" spans="1:51" ht="16">
      <c r="A81" s="40" t="s">
        <v>265</v>
      </c>
      <c r="B81" s="41">
        <v>1</v>
      </c>
      <c r="C81" s="42"/>
      <c r="D81" s="43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 t="str">
        <f>IF(AJ81="","",IF(AF81="",(AJ81-C81)*B81,(AJ81-AF81)*B81))</f>
        <v/>
      </c>
      <c r="AM81" s="44" t="str">
        <f>IF(AL81="","",AK81+AL81)</f>
        <v/>
      </c>
      <c r="AN81" s="44"/>
      <c r="AO81" s="44"/>
      <c r="AP81" s="44" t="str">
        <f>IF(AN81="","",IF(AJ81="",(AN81-C81)*B81,(AN81-AJ81)*B81))</f>
        <v/>
      </c>
      <c r="AQ81" s="44" t="str">
        <f>IF(AP81="","",AP81+AO81)</f>
        <v/>
      </c>
      <c r="AR81" s="44">
        <v>3743.38</v>
      </c>
      <c r="AS81" s="44"/>
      <c r="AT81" s="44">
        <f t="shared" si="20"/>
        <v>3743.38</v>
      </c>
      <c r="AU81" s="44">
        <f t="shared" si="21"/>
        <v>3743.38</v>
      </c>
      <c r="AV81" s="44"/>
      <c r="AW81" s="44"/>
      <c r="AX81" s="44" t="str">
        <f t="shared" si="22"/>
        <v/>
      </c>
      <c r="AY81" s="44" t="str">
        <f t="shared" si="23"/>
        <v/>
      </c>
    </row>
    <row r="82" spans="1:51" ht="17">
      <c r="A82" s="35" t="s">
        <v>87</v>
      </c>
      <c r="B82" s="36">
        <v>40</v>
      </c>
      <c r="C82" s="37"/>
      <c r="D82" s="38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>
        <v>376.77</v>
      </c>
      <c r="AS82" s="35"/>
      <c r="AT82" s="39">
        <f t="shared" si="20"/>
        <v>15070.8</v>
      </c>
      <c r="AU82" s="39">
        <f t="shared" si="21"/>
        <v>15070.8</v>
      </c>
      <c r="AV82" s="35"/>
      <c r="AW82" s="35"/>
      <c r="AX82" s="39" t="str">
        <f t="shared" si="22"/>
        <v/>
      </c>
      <c r="AY82" s="39" t="str">
        <f t="shared" si="23"/>
        <v/>
      </c>
    </row>
    <row r="83" spans="1:51" ht="16">
      <c r="A83" s="40" t="s">
        <v>284</v>
      </c>
      <c r="B83" s="41">
        <v>10</v>
      </c>
      <c r="C83" s="42"/>
      <c r="D83" s="43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 t="str">
        <f t="shared" ref="AL83:AL91" si="28">IF(AJ83="","",IF(AF83="",(AJ83-C83)*B83,(AJ83-AF83)*B83))</f>
        <v/>
      </c>
      <c r="AM83" s="44" t="str">
        <f t="shared" ref="AM83:AM91" si="29">IF(AL83="","",AK83+AL83)</f>
        <v/>
      </c>
      <c r="AN83" s="44"/>
      <c r="AO83" s="44"/>
      <c r="AP83" s="44" t="str">
        <f t="shared" ref="AP83:AP91" si="30">IF(AN83="","",IF(AJ83="",(AN83-C83)*B83,(AN83-AJ83)*B83))</f>
        <v/>
      </c>
      <c r="AQ83" s="44" t="str">
        <f t="shared" ref="AQ83:AQ91" si="31">IF(AP83="","",AP83+AO83)</f>
        <v/>
      </c>
      <c r="AR83" s="44">
        <v>109.53</v>
      </c>
      <c r="AS83" s="44"/>
      <c r="AT83" s="44">
        <f t="shared" si="20"/>
        <v>1095.3</v>
      </c>
      <c r="AU83" s="44">
        <f t="shared" si="21"/>
        <v>1095.3</v>
      </c>
      <c r="AV83" s="44"/>
      <c r="AW83" s="44"/>
      <c r="AX83" s="44" t="str">
        <f t="shared" si="22"/>
        <v/>
      </c>
      <c r="AY83" s="44" t="str">
        <f t="shared" si="23"/>
        <v/>
      </c>
    </row>
    <row r="84" spans="1:51" ht="16">
      <c r="A84" s="40" t="s">
        <v>285</v>
      </c>
      <c r="B84" s="41">
        <v>1</v>
      </c>
      <c r="C84" s="42"/>
      <c r="D84" s="43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 t="str">
        <f t="shared" si="28"/>
        <v/>
      </c>
      <c r="AM84" s="44" t="str">
        <f t="shared" si="29"/>
        <v/>
      </c>
      <c r="AN84" s="44"/>
      <c r="AO84" s="44"/>
      <c r="AP84" s="44" t="str">
        <f t="shared" si="30"/>
        <v/>
      </c>
      <c r="AQ84" s="44" t="str">
        <f t="shared" si="31"/>
        <v/>
      </c>
      <c r="AR84" s="44">
        <v>922.44</v>
      </c>
      <c r="AS84" s="44"/>
      <c r="AT84" s="44">
        <f t="shared" si="20"/>
        <v>922.44</v>
      </c>
      <c r="AU84" s="44">
        <f t="shared" si="21"/>
        <v>922.44</v>
      </c>
      <c r="AV84" s="44"/>
      <c r="AW84" s="44"/>
      <c r="AX84" s="44" t="str">
        <f t="shared" si="22"/>
        <v/>
      </c>
      <c r="AY84" s="44" t="str">
        <f t="shared" si="23"/>
        <v/>
      </c>
    </row>
    <row r="85" spans="1:51" ht="16">
      <c r="A85" s="40" t="s">
        <v>286</v>
      </c>
      <c r="B85" s="41">
        <v>40</v>
      </c>
      <c r="C85" s="42"/>
      <c r="D85" s="43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 t="str">
        <f t="shared" si="28"/>
        <v/>
      </c>
      <c r="AM85" s="44" t="str">
        <f t="shared" si="29"/>
        <v/>
      </c>
      <c r="AN85" s="44"/>
      <c r="AO85" s="44"/>
      <c r="AP85" s="44" t="str">
        <f t="shared" si="30"/>
        <v/>
      </c>
      <c r="AQ85" s="44" t="str">
        <f t="shared" si="31"/>
        <v/>
      </c>
      <c r="AR85" s="44">
        <v>348.45</v>
      </c>
      <c r="AS85" s="44"/>
      <c r="AT85" s="44">
        <f t="shared" si="20"/>
        <v>13938</v>
      </c>
      <c r="AU85" s="44">
        <f t="shared" si="21"/>
        <v>13938</v>
      </c>
      <c r="AV85" s="44"/>
      <c r="AW85" s="44"/>
      <c r="AX85" s="44" t="str">
        <f t="shared" si="22"/>
        <v/>
      </c>
      <c r="AY85" s="44" t="str">
        <f t="shared" si="23"/>
        <v/>
      </c>
    </row>
    <row r="86" spans="1:51" ht="16">
      <c r="A86" s="40" t="s">
        <v>290</v>
      </c>
      <c r="B86" s="41">
        <v>10</v>
      </c>
      <c r="C86" s="42"/>
      <c r="D86" s="43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 t="str">
        <f t="shared" si="28"/>
        <v/>
      </c>
      <c r="AM86" s="44" t="str">
        <f t="shared" si="29"/>
        <v/>
      </c>
      <c r="AN86" s="44"/>
      <c r="AO86" s="44"/>
      <c r="AP86" s="44" t="str">
        <f t="shared" si="30"/>
        <v/>
      </c>
      <c r="AQ86" s="44" t="str">
        <f t="shared" si="31"/>
        <v/>
      </c>
      <c r="AR86" s="44">
        <v>152.44999999999999</v>
      </c>
      <c r="AS86" s="44"/>
      <c r="AT86" s="44">
        <f t="shared" si="20"/>
        <v>1524.5</v>
      </c>
      <c r="AU86" s="44">
        <f t="shared" si="21"/>
        <v>1524.5</v>
      </c>
      <c r="AV86" s="44"/>
      <c r="AW86" s="44"/>
      <c r="AX86" s="44" t="str">
        <f t="shared" si="22"/>
        <v/>
      </c>
      <c r="AY86" s="44" t="str">
        <f t="shared" si="23"/>
        <v/>
      </c>
    </row>
    <row r="87" spans="1:51" ht="16">
      <c r="A87" s="40" t="s">
        <v>266</v>
      </c>
      <c r="B87" s="41">
        <v>1</v>
      </c>
      <c r="C87" s="42"/>
      <c r="D87" s="43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 t="str">
        <f t="shared" si="28"/>
        <v/>
      </c>
      <c r="AM87" s="44" t="str">
        <f t="shared" si="29"/>
        <v/>
      </c>
      <c r="AN87" s="44"/>
      <c r="AO87" s="44"/>
      <c r="AP87" s="44" t="str">
        <f t="shared" si="30"/>
        <v/>
      </c>
      <c r="AQ87" s="44" t="str">
        <f t="shared" si="31"/>
        <v/>
      </c>
      <c r="AR87" s="44">
        <v>3054.6</v>
      </c>
      <c r="AS87" s="44"/>
      <c r="AT87" s="44">
        <f t="shared" si="20"/>
        <v>3054.6</v>
      </c>
      <c r="AU87" s="44">
        <f t="shared" si="21"/>
        <v>3054.6</v>
      </c>
      <c r="AV87" s="44"/>
      <c r="AW87" s="44"/>
      <c r="AX87" s="44" t="str">
        <f t="shared" si="22"/>
        <v/>
      </c>
      <c r="AY87" s="44" t="str">
        <f t="shared" si="23"/>
        <v/>
      </c>
    </row>
    <row r="88" spans="1:51" ht="16">
      <c r="A88" s="40" t="s">
        <v>291</v>
      </c>
      <c r="B88" s="41">
        <v>40</v>
      </c>
      <c r="C88" s="42"/>
      <c r="D88" s="43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 t="str">
        <f t="shared" si="28"/>
        <v/>
      </c>
      <c r="AM88" s="44" t="str">
        <f t="shared" si="29"/>
        <v/>
      </c>
      <c r="AN88" s="44"/>
      <c r="AO88" s="44"/>
      <c r="AP88" s="44" t="str">
        <f t="shared" si="30"/>
        <v/>
      </c>
      <c r="AQ88" s="44" t="str">
        <f t="shared" si="31"/>
        <v/>
      </c>
      <c r="AR88" s="44">
        <v>317.56</v>
      </c>
      <c r="AS88" s="44"/>
      <c r="AT88" s="44">
        <f t="shared" si="20"/>
        <v>12702.4</v>
      </c>
      <c r="AU88" s="44">
        <f t="shared" si="21"/>
        <v>12702.4</v>
      </c>
      <c r="AV88" s="44"/>
      <c r="AW88" s="44"/>
      <c r="AX88" s="44" t="str">
        <f t="shared" si="22"/>
        <v/>
      </c>
      <c r="AY88" s="44" t="str">
        <f t="shared" si="23"/>
        <v/>
      </c>
    </row>
    <row r="89" spans="1:51" ht="16">
      <c r="A89" s="40" t="s">
        <v>292</v>
      </c>
      <c r="B89" s="41">
        <v>10</v>
      </c>
      <c r="C89" s="42"/>
      <c r="D89" s="43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 t="str">
        <f t="shared" si="28"/>
        <v/>
      </c>
      <c r="AM89" s="44" t="str">
        <f t="shared" si="29"/>
        <v/>
      </c>
      <c r="AN89" s="44"/>
      <c r="AO89" s="44"/>
      <c r="AP89" s="44" t="str">
        <f t="shared" si="30"/>
        <v/>
      </c>
      <c r="AQ89" s="44" t="str">
        <f t="shared" si="31"/>
        <v/>
      </c>
      <c r="AR89" s="44">
        <v>840.53</v>
      </c>
      <c r="AS89" s="44"/>
      <c r="AT89" s="44">
        <f t="shared" si="20"/>
        <v>8405.2999999999993</v>
      </c>
      <c r="AU89" s="44">
        <f t="shared" si="21"/>
        <v>8405.2999999999993</v>
      </c>
      <c r="AV89" s="44"/>
      <c r="AW89" s="44"/>
      <c r="AX89" s="44" t="str">
        <f t="shared" si="22"/>
        <v/>
      </c>
      <c r="AY89" s="44" t="str">
        <f t="shared" si="23"/>
        <v/>
      </c>
    </row>
    <row r="90" spans="1:51" ht="16">
      <c r="A90" s="40" t="s">
        <v>293</v>
      </c>
      <c r="B90" s="41">
        <v>1</v>
      </c>
      <c r="C90" s="42"/>
      <c r="D90" s="43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 t="str">
        <f t="shared" si="28"/>
        <v/>
      </c>
      <c r="AM90" s="44" t="str">
        <f t="shared" si="29"/>
        <v/>
      </c>
      <c r="AN90" s="44"/>
      <c r="AO90" s="44"/>
      <c r="AP90" s="44" t="str">
        <f t="shared" si="30"/>
        <v/>
      </c>
      <c r="AQ90" s="44" t="str">
        <f t="shared" si="31"/>
        <v/>
      </c>
      <c r="AR90" s="44">
        <v>3151.44</v>
      </c>
      <c r="AS90" s="44"/>
      <c r="AT90" s="44">
        <f t="shared" si="20"/>
        <v>3151.44</v>
      </c>
      <c r="AU90" s="44">
        <f t="shared" si="21"/>
        <v>3151.44</v>
      </c>
      <c r="AV90" s="44"/>
      <c r="AW90" s="44"/>
      <c r="AX90" s="44" t="str">
        <f t="shared" si="22"/>
        <v/>
      </c>
      <c r="AY90" s="44" t="str">
        <f t="shared" si="23"/>
        <v/>
      </c>
    </row>
    <row r="91" spans="1:51" ht="16">
      <c r="A91" s="40" t="s">
        <v>294</v>
      </c>
      <c r="B91" s="41">
        <v>40</v>
      </c>
      <c r="C91" s="42"/>
      <c r="D91" s="43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 t="str">
        <f t="shared" si="28"/>
        <v/>
      </c>
      <c r="AM91" s="44" t="str">
        <f t="shared" si="29"/>
        <v/>
      </c>
      <c r="AN91" s="44"/>
      <c r="AO91" s="44"/>
      <c r="AP91" s="44" t="str">
        <f t="shared" si="30"/>
        <v/>
      </c>
      <c r="AQ91" s="44" t="str">
        <f t="shared" si="31"/>
        <v/>
      </c>
      <c r="AR91" s="44">
        <v>603.66999999999996</v>
      </c>
      <c r="AS91" s="44"/>
      <c r="AT91" s="44">
        <f t="shared" si="20"/>
        <v>24146.799999999999</v>
      </c>
      <c r="AU91" s="44">
        <f t="shared" si="21"/>
        <v>24146.799999999999</v>
      </c>
      <c r="AV91" s="44"/>
      <c r="AW91" s="44"/>
      <c r="AX91" s="44" t="str">
        <f t="shared" si="22"/>
        <v/>
      </c>
      <c r="AY91" s="44" t="str">
        <f t="shared" si="23"/>
        <v/>
      </c>
    </row>
    <row r="92" spans="1:51" ht="17">
      <c r="A92" s="35" t="s">
        <v>88</v>
      </c>
      <c r="B92" s="36">
        <v>20</v>
      </c>
      <c r="C92" s="37">
        <v>964.28</v>
      </c>
      <c r="D92" s="38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>
        <v>964.28</v>
      </c>
      <c r="AO92" s="35"/>
      <c r="AP92" s="35"/>
      <c r="AQ92" s="35"/>
      <c r="AR92" s="35"/>
      <c r="AS92" s="35"/>
      <c r="AT92" s="39" t="str">
        <f t="shared" si="20"/>
        <v/>
      </c>
      <c r="AU92" s="39" t="str">
        <f t="shared" si="21"/>
        <v/>
      </c>
      <c r="AV92" s="35"/>
      <c r="AW92" s="35"/>
      <c r="AX92" s="39" t="str">
        <f t="shared" si="22"/>
        <v/>
      </c>
      <c r="AY92" s="39" t="str">
        <f t="shared" si="23"/>
        <v/>
      </c>
    </row>
    <row r="93" spans="1:51" ht="17">
      <c r="A93" s="35" t="s">
        <v>89</v>
      </c>
      <c r="B93" s="36">
        <v>30</v>
      </c>
      <c r="C93" s="37">
        <v>1143.03</v>
      </c>
      <c r="D93" s="38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>
        <v>1143.03</v>
      </c>
      <c r="AO93" s="35"/>
      <c r="AP93" s="35"/>
      <c r="AQ93" s="35"/>
      <c r="AR93" s="35"/>
      <c r="AS93" s="35"/>
      <c r="AT93" s="39" t="str">
        <f t="shared" si="20"/>
        <v/>
      </c>
      <c r="AU93" s="39" t="str">
        <f t="shared" si="21"/>
        <v/>
      </c>
      <c r="AV93" s="35"/>
      <c r="AW93" s="35"/>
      <c r="AX93" s="39" t="str">
        <f t="shared" si="22"/>
        <v/>
      </c>
      <c r="AY93" s="39" t="str">
        <f t="shared" si="23"/>
        <v/>
      </c>
    </row>
    <row r="94" spans="1:51" ht="16">
      <c r="A94" s="40" t="s">
        <v>298</v>
      </c>
      <c r="B94" s="41">
        <v>10</v>
      </c>
      <c r="C94" s="42"/>
      <c r="D94" s="43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 t="str">
        <f>IF(AJ94="","",IF(AF94="",(AJ94-C94)*B94,(AJ94-AF94)*B94))</f>
        <v/>
      </c>
      <c r="AM94" s="44" t="str">
        <f>IF(AL94="","",AK94+AL94)</f>
        <v/>
      </c>
      <c r="AN94" s="44"/>
      <c r="AO94" s="44"/>
      <c r="AP94" s="44" t="str">
        <f>IF(AN94="","",IF(AJ94="",(AN94-C94)*B94,(AN94-AJ94)*B94))</f>
        <v/>
      </c>
      <c r="AQ94" s="44" t="str">
        <f>IF(AP94="","",AP94+AO94)</f>
        <v/>
      </c>
      <c r="AR94" s="44">
        <v>196.89</v>
      </c>
      <c r="AS94" s="44"/>
      <c r="AT94" s="44">
        <f t="shared" si="20"/>
        <v>1968.8999999999999</v>
      </c>
      <c r="AU94" s="44">
        <f t="shared" si="21"/>
        <v>1968.8999999999999</v>
      </c>
      <c r="AV94" s="44"/>
      <c r="AW94" s="44"/>
      <c r="AX94" s="44" t="str">
        <f t="shared" si="22"/>
        <v/>
      </c>
      <c r="AY94" s="44" t="str">
        <f t="shared" si="23"/>
        <v/>
      </c>
    </row>
    <row r="95" spans="1:51" ht="16">
      <c r="A95" s="40" t="s">
        <v>267</v>
      </c>
      <c r="B95" s="41">
        <v>1</v>
      </c>
      <c r="C95" s="42"/>
      <c r="D95" s="43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 t="str">
        <f>IF(AJ95="","",IF(AF95="",(AJ95-C95)*B95,(AJ95-AF95)*B95))</f>
        <v/>
      </c>
      <c r="AM95" s="44" t="str">
        <f>IF(AL95="","",AK95+AL95)</f>
        <v/>
      </c>
      <c r="AN95" s="44"/>
      <c r="AO95" s="44"/>
      <c r="AP95" s="44" t="str">
        <f>IF(AN95="","",IF(AJ95="",(AN95-C95)*B95,(AN95-AJ95)*B95))</f>
        <v/>
      </c>
      <c r="AQ95" s="44" t="str">
        <f>IF(AP95="","",AP95+AO95)</f>
        <v/>
      </c>
      <c r="AR95" s="44">
        <v>688.51</v>
      </c>
      <c r="AS95" s="44"/>
      <c r="AT95" s="44">
        <f t="shared" si="20"/>
        <v>688.51</v>
      </c>
      <c r="AU95" s="44">
        <f t="shared" si="21"/>
        <v>688.51</v>
      </c>
      <c r="AV95" s="44"/>
      <c r="AW95" s="44"/>
      <c r="AX95" s="44" t="str">
        <f t="shared" si="22"/>
        <v/>
      </c>
      <c r="AY95" s="44" t="str">
        <f t="shared" si="23"/>
        <v/>
      </c>
    </row>
    <row r="96" spans="1:51" ht="17">
      <c r="A96" s="35" t="s">
        <v>90</v>
      </c>
      <c r="B96" s="36">
        <v>20</v>
      </c>
      <c r="C96" s="37"/>
      <c r="D96" s="38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>
        <v>706.03</v>
      </c>
      <c r="AS96" s="35"/>
      <c r="AT96" s="39">
        <f t="shared" si="20"/>
        <v>14120.599999999999</v>
      </c>
      <c r="AU96" s="39">
        <f t="shared" si="21"/>
        <v>14120.599999999999</v>
      </c>
      <c r="AV96" s="35"/>
      <c r="AW96" s="35"/>
      <c r="AX96" s="39" t="str">
        <f t="shared" si="22"/>
        <v/>
      </c>
      <c r="AY96" s="39" t="str">
        <f t="shared" si="23"/>
        <v/>
      </c>
    </row>
    <row r="97" spans="1:51" ht="16">
      <c r="A97" s="40" t="s">
        <v>296</v>
      </c>
      <c r="B97" s="41">
        <v>10</v>
      </c>
      <c r="C97" s="42"/>
      <c r="D97" s="43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 t="str">
        <f>IF(AJ97="","",IF(AF97="",(AJ97-C97)*B97,(AJ97-AF97)*B97))</f>
        <v/>
      </c>
      <c r="AM97" s="44" t="str">
        <f>IF(AL97="","",AK97+AL97)</f>
        <v/>
      </c>
      <c r="AN97" s="44"/>
      <c r="AO97" s="44"/>
      <c r="AP97" s="44" t="str">
        <f>IF(AN97="","",IF(AJ97="",(AN97-C97)*B97,(AN97-AJ97)*B97))</f>
        <v/>
      </c>
      <c r="AQ97" s="44" t="str">
        <f>IF(AP97="","",AP97+AO97)</f>
        <v/>
      </c>
      <c r="AR97" s="44">
        <v>75.34</v>
      </c>
      <c r="AS97" s="44"/>
      <c r="AT97" s="44">
        <f t="shared" si="20"/>
        <v>753.40000000000009</v>
      </c>
      <c r="AU97" s="44">
        <f t="shared" si="21"/>
        <v>753.40000000000009</v>
      </c>
      <c r="AV97" s="44"/>
      <c r="AW97" s="44"/>
      <c r="AX97" s="44" t="str">
        <f t="shared" si="22"/>
        <v/>
      </c>
      <c r="AY97" s="44" t="str">
        <f t="shared" si="23"/>
        <v/>
      </c>
    </row>
    <row r="98" spans="1:51" ht="16">
      <c r="A98" s="40" t="s">
        <v>295</v>
      </c>
      <c r="B98" s="41">
        <v>1</v>
      </c>
      <c r="C98" s="42"/>
      <c r="D98" s="43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 t="str">
        <f>IF(AJ98="","",IF(AF98="",(AJ98-C98)*B98,(AJ98-AF98)*B98))</f>
        <v/>
      </c>
      <c r="AM98" s="44" t="str">
        <f>IF(AL98="","",AK98+AL98)</f>
        <v/>
      </c>
      <c r="AN98" s="44"/>
      <c r="AO98" s="44"/>
      <c r="AP98" s="44" t="str">
        <f>IF(AN98="","",IF(AJ98="",(AN98-C98)*B98,(AN98-AJ98)*B98))</f>
        <v/>
      </c>
      <c r="AQ98" s="44" t="str">
        <f>IF(AP98="","",AP98+AO98)</f>
        <v/>
      </c>
      <c r="AR98" s="44">
        <v>4207.34</v>
      </c>
      <c r="AS98" s="44"/>
      <c r="AT98" s="44">
        <f t="shared" si="20"/>
        <v>4207.34</v>
      </c>
      <c r="AU98" s="44">
        <f t="shared" si="21"/>
        <v>4207.34</v>
      </c>
      <c r="AV98" s="44"/>
      <c r="AW98" s="44"/>
      <c r="AX98" s="44" t="str">
        <f t="shared" si="22"/>
        <v/>
      </c>
      <c r="AY98" s="44" t="str">
        <f t="shared" si="23"/>
        <v/>
      </c>
    </row>
    <row r="99" spans="1:51" ht="16">
      <c r="A99" s="40" t="s">
        <v>297</v>
      </c>
      <c r="B99" s="41">
        <v>40</v>
      </c>
      <c r="C99" s="42"/>
      <c r="D99" s="43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 t="str">
        <f>IF(AJ99="","",IF(AF99="",(AJ99-C99)*B99,(AJ99-AF99)*B99))</f>
        <v/>
      </c>
      <c r="AM99" s="44" t="str">
        <f>IF(AL99="","",AK99+AL99)</f>
        <v/>
      </c>
      <c r="AN99" s="44"/>
      <c r="AO99" s="44"/>
      <c r="AP99" s="44" t="str">
        <f>IF(AN99="","",IF(AJ99="",(AN99-C99)*B99,(AN99-AJ99)*B99))</f>
        <v/>
      </c>
      <c r="AQ99" s="44" t="str">
        <f>IF(AP99="","",AP99+AO99)</f>
        <v/>
      </c>
      <c r="AR99" s="44">
        <v>588.98</v>
      </c>
      <c r="AS99" s="44"/>
      <c r="AT99" s="44">
        <f t="shared" si="20"/>
        <v>23559.200000000001</v>
      </c>
      <c r="AU99" s="44">
        <f t="shared" si="21"/>
        <v>23559.200000000001</v>
      </c>
      <c r="AV99" s="44"/>
      <c r="AW99" s="44"/>
      <c r="AX99" s="44" t="str">
        <f t="shared" si="22"/>
        <v/>
      </c>
      <c r="AY99" s="44" t="str">
        <f t="shared" si="23"/>
        <v/>
      </c>
    </row>
    <row r="100" spans="1:51" ht="17">
      <c r="A100" s="35" t="s">
        <v>91</v>
      </c>
      <c r="B100" s="36">
        <v>20</v>
      </c>
      <c r="C100" s="37">
        <v>427.82</v>
      </c>
      <c r="D100" s="38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>
        <v>427.82</v>
      </c>
      <c r="AO100" s="35"/>
      <c r="AP100" s="35"/>
      <c r="AQ100" s="35"/>
      <c r="AR100" s="35"/>
      <c r="AS100" s="35"/>
      <c r="AT100" s="39" t="str">
        <f t="shared" ref="AT100:AT132" si="32">IF(AR100="","",(AR100-AN100)*B100)</f>
        <v/>
      </c>
      <c r="AU100" s="39" t="str">
        <f t="shared" ref="AU100:AU131" si="33">IF(AR100="","",AS100+AT100)</f>
        <v/>
      </c>
      <c r="AV100" s="35"/>
      <c r="AW100" s="35"/>
      <c r="AX100" s="39" t="str">
        <f t="shared" ref="AX100:AX132" si="34">IF(AV100="","",(AV100-AR100)*B100)</f>
        <v/>
      </c>
      <c r="AY100" s="39" t="str">
        <f t="shared" ref="AY100:AY131" si="35">IF(AV100="","",AW100+AX100)</f>
        <v/>
      </c>
    </row>
    <row r="101" spans="1:51" ht="17">
      <c r="A101" s="35" t="s">
        <v>92</v>
      </c>
      <c r="B101" s="36">
        <v>20</v>
      </c>
      <c r="C101" s="37">
        <v>463.93</v>
      </c>
      <c r="D101" s="38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>
        <v>463.93</v>
      </c>
      <c r="AO101" s="35"/>
      <c r="AP101" s="35"/>
      <c r="AQ101" s="35"/>
      <c r="AR101" s="35"/>
      <c r="AS101" s="35"/>
      <c r="AT101" s="39" t="str">
        <f t="shared" si="32"/>
        <v/>
      </c>
      <c r="AU101" s="39" t="str">
        <f t="shared" si="33"/>
        <v/>
      </c>
      <c r="AV101" s="35"/>
      <c r="AW101" s="35"/>
      <c r="AX101" s="39" t="str">
        <f t="shared" si="34"/>
        <v/>
      </c>
      <c r="AY101" s="39" t="str">
        <f t="shared" si="35"/>
        <v/>
      </c>
    </row>
    <row r="102" spans="1:51" ht="16">
      <c r="A102" s="40" t="s">
        <v>241</v>
      </c>
      <c r="B102" s="41">
        <v>10</v>
      </c>
      <c r="C102" s="42"/>
      <c r="D102" s="43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 t="str">
        <f>IF(AJ102="","",IF(AF102="",(AJ102-C102)*B102,(AJ102-AF102)*B102))</f>
        <v/>
      </c>
      <c r="AM102" s="44" t="str">
        <f>IF(AL102="","",AK102+AL102)</f>
        <v/>
      </c>
      <c r="AN102" s="44"/>
      <c r="AO102" s="44"/>
      <c r="AP102" s="44" t="str">
        <f>IF(AN102="","",IF(AJ102="",(AN102-C102)*B102,(AN102-AJ102)*B102))</f>
        <v/>
      </c>
      <c r="AQ102" s="44" t="str">
        <f>IF(AP102="","",AP102+AO102)</f>
        <v/>
      </c>
      <c r="AR102" s="44">
        <v>161.9</v>
      </c>
      <c r="AS102" s="44"/>
      <c r="AT102" s="44">
        <f t="shared" si="32"/>
        <v>1619</v>
      </c>
      <c r="AU102" s="44">
        <f t="shared" si="33"/>
        <v>1619</v>
      </c>
      <c r="AV102" s="44"/>
      <c r="AW102" s="44"/>
      <c r="AX102" s="44" t="str">
        <f t="shared" si="34"/>
        <v/>
      </c>
      <c r="AY102" s="44" t="str">
        <f t="shared" si="35"/>
        <v/>
      </c>
    </row>
    <row r="103" spans="1:51" ht="16">
      <c r="A103" s="40" t="s">
        <v>268</v>
      </c>
      <c r="B103" s="41">
        <v>1</v>
      </c>
      <c r="C103" s="42"/>
      <c r="D103" s="43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 t="str">
        <f>IF(AJ103="","",IF(AF103="",(AJ103-C103)*B103,(AJ103-AF103)*B103))</f>
        <v/>
      </c>
      <c r="AM103" s="44" t="str">
        <f>IF(AL103="","",AK103+AL103)</f>
        <v/>
      </c>
      <c r="AN103" s="44"/>
      <c r="AO103" s="44"/>
      <c r="AP103" s="44" t="str">
        <f>IF(AN103="","",IF(AJ103="",(AN103-C103)*B103,(AN103-AJ103)*B103))</f>
        <v/>
      </c>
      <c r="AQ103" s="44" t="str">
        <f>IF(AP103="","",AP103+AO103)</f>
        <v/>
      </c>
      <c r="AR103" s="44">
        <v>798.99</v>
      </c>
      <c r="AS103" s="44"/>
      <c r="AT103" s="44">
        <f t="shared" si="32"/>
        <v>798.99</v>
      </c>
      <c r="AU103" s="44">
        <f t="shared" si="33"/>
        <v>798.99</v>
      </c>
      <c r="AV103" s="44"/>
      <c r="AW103" s="44"/>
      <c r="AX103" s="44" t="str">
        <f t="shared" si="34"/>
        <v/>
      </c>
      <c r="AY103" s="44" t="str">
        <f t="shared" si="35"/>
        <v/>
      </c>
    </row>
    <row r="104" spans="1:51" ht="16">
      <c r="A104" s="40" t="s">
        <v>240</v>
      </c>
      <c r="B104" s="41">
        <v>40</v>
      </c>
      <c r="C104" s="42"/>
      <c r="D104" s="43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 t="str">
        <f>IF(AJ104="","",IF(AF104="",(AJ104-C104)*B104,(AJ104-AF104)*B104))</f>
        <v/>
      </c>
      <c r="AM104" s="44" t="str">
        <f>IF(AL104="","",AK104+AL104)</f>
        <v/>
      </c>
      <c r="AN104" s="44"/>
      <c r="AO104" s="44"/>
      <c r="AP104" s="44" t="str">
        <f>IF(AN104="","",IF(AJ104="",(AN104-C104)*B104,(AN104-AJ104)*B104))</f>
        <v/>
      </c>
      <c r="AQ104" s="44" t="str">
        <f>IF(AP104="","",AP104+AO104)</f>
        <v/>
      </c>
      <c r="AR104" s="44">
        <v>472.57</v>
      </c>
      <c r="AS104" s="44"/>
      <c r="AT104" s="44">
        <f t="shared" si="32"/>
        <v>18902.8</v>
      </c>
      <c r="AU104" s="44">
        <f t="shared" si="33"/>
        <v>18902.8</v>
      </c>
      <c r="AV104" s="44"/>
      <c r="AW104" s="44"/>
      <c r="AX104" s="44" t="str">
        <f t="shared" si="34"/>
        <v/>
      </c>
      <c r="AY104" s="44" t="str">
        <f t="shared" si="35"/>
        <v/>
      </c>
    </row>
    <row r="105" spans="1:51" ht="17">
      <c r="A105" s="35" t="s">
        <v>93</v>
      </c>
      <c r="B105" s="36">
        <v>20</v>
      </c>
      <c r="C105" s="37">
        <v>488.95</v>
      </c>
      <c r="D105" s="38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>
        <v>488.95</v>
      </c>
      <c r="AO105" s="35"/>
      <c r="AP105" s="35"/>
      <c r="AQ105" s="35"/>
      <c r="AR105" s="35"/>
      <c r="AS105" s="35"/>
      <c r="AT105" s="39" t="str">
        <f t="shared" si="32"/>
        <v/>
      </c>
      <c r="AU105" s="39" t="str">
        <f t="shared" si="33"/>
        <v/>
      </c>
      <c r="AV105" s="35"/>
      <c r="AW105" s="35"/>
      <c r="AX105" s="39" t="str">
        <f t="shared" si="34"/>
        <v/>
      </c>
      <c r="AY105" s="39" t="str">
        <f t="shared" si="35"/>
        <v/>
      </c>
    </row>
    <row r="106" spans="1:51" ht="17">
      <c r="A106" s="35" t="s">
        <v>94</v>
      </c>
      <c r="B106" s="36">
        <v>20</v>
      </c>
      <c r="C106" s="37">
        <v>462.12</v>
      </c>
      <c r="D106" s="38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>
        <v>462.12</v>
      </c>
      <c r="AO106" s="35"/>
      <c r="AP106" s="35"/>
      <c r="AQ106" s="35"/>
      <c r="AR106" s="35"/>
      <c r="AS106" s="35"/>
      <c r="AT106" s="39" t="str">
        <f t="shared" si="32"/>
        <v/>
      </c>
      <c r="AU106" s="39" t="str">
        <f t="shared" si="33"/>
        <v/>
      </c>
      <c r="AV106" s="35"/>
      <c r="AW106" s="35"/>
      <c r="AX106" s="39" t="str">
        <f t="shared" si="34"/>
        <v/>
      </c>
      <c r="AY106" s="39" t="str">
        <f t="shared" si="35"/>
        <v/>
      </c>
    </row>
    <row r="107" spans="1:51" ht="16">
      <c r="A107" s="40" t="s">
        <v>243</v>
      </c>
      <c r="B107" s="41">
        <v>10</v>
      </c>
      <c r="C107" s="42"/>
      <c r="D107" s="43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 t="str">
        <f>IF(AJ107="","",IF(AF107="",(AJ107-C107)*B107,(AJ107-AF107)*B107))</f>
        <v/>
      </c>
      <c r="AM107" s="44" t="str">
        <f>IF(AL107="","",AK107+AL107)</f>
        <v/>
      </c>
      <c r="AN107" s="44"/>
      <c r="AO107" s="44"/>
      <c r="AP107" s="44" t="str">
        <f>IF(AN107="","",IF(AJ107="",(AN107-C107)*B107,(AN107-AJ107)*B107))</f>
        <v/>
      </c>
      <c r="AQ107" s="44" t="str">
        <f>IF(AP107="","",AP107+AO107)</f>
        <v/>
      </c>
      <c r="AR107" s="44">
        <v>148.61000000000001</v>
      </c>
      <c r="AS107" s="44"/>
      <c r="AT107" s="44">
        <f t="shared" si="32"/>
        <v>1486.1000000000001</v>
      </c>
      <c r="AU107" s="44">
        <f t="shared" si="33"/>
        <v>1486.1000000000001</v>
      </c>
      <c r="AV107" s="44"/>
      <c r="AW107" s="44"/>
      <c r="AX107" s="44" t="str">
        <f t="shared" si="34"/>
        <v/>
      </c>
      <c r="AY107" s="44" t="str">
        <f t="shared" si="35"/>
        <v/>
      </c>
    </row>
    <row r="108" spans="1:51" ht="16">
      <c r="A108" s="40" t="s">
        <v>269</v>
      </c>
      <c r="B108" s="41">
        <v>1</v>
      </c>
      <c r="C108" s="42"/>
      <c r="D108" s="43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 t="str">
        <f>IF(AJ108="","",IF(AF108="",(AJ108-C108)*B108,(AJ108-AF108)*B108))</f>
        <v/>
      </c>
      <c r="AM108" s="44" t="str">
        <f>IF(AL108="","",AK108+AL108)</f>
        <v/>
      </c>
      <c r="AN108" s="44"/>
      <c r="AO108" s="44"/>
      <c r="AP108" s="44" t="str">
        <f>IF(AN108="","",IF(AJ108="",(AN108-C108)*B108,(AN108-AJ108)*B108))</f>
        <v/>
      </c>
      <c r="AQ108" s="44" t="str">
        <f>IF(AP108="","",AP108+AO108)</f>
        <v/>
      </c>
      <c r="AR108" s="44">
        <v>3144.97</v>
      </c>
      <c r="AS108" s="44"/>
      <c r="AT108" s="44">
        <f t="shared" si="32"/>
        <v>3144.97</v>
      </c>
      <c r="AU108" s="44">
        <f t="shared" si="33"/>
        <v>3144.97</v>
      </c>
      <c r="AV108" s="44"/>
      <c r="AW108" s="44"/>
      <c r="AX108" s="44" t="str">
        <f t="shared" si="34"/>
        <v/>
      </c>
      <c r="AY108" s="44" t="str">
        <f t="shared" si="35"/>
        <v/>
      </c>
    </row>
    <row r="109" spans="1:51" ht="16">
      <c r="A109" s="40" t="s">
        <v>242</v>
      </c>
      <c r="B109" s="41">
        <v>40</v>
      </c>
      <c r="C109" s="42"/>
      <c r="D109" s="43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 t="str">
        <f>IF(AJ109="","",IF(AF109="",(AJ109-C109)*B109,(AJ109-AF109)*B109))</f>
        <v/>
      </c>
      <c r="AM109" s="44" t="str">
        <f>IF(AL109="","",AK109+AL109)</f>
        <v/>
      </c>
      <c r="AN109" s="44"/>
      <c r="AO109" s="44"/>
      <c r="AP109" s="44" t="str">
        <f>IF(AN109="","",IF(AJ109="",(AN109-C109)*B109,(AN109-AJ109)*B109))</f>
        <v/>
      </c>
      <c r="AQ109" s="44" t="str">
        <f>IF(AP109="","",AP109+AO109)</f>
        <v/>
      </c>
      <c r="AR109" s="44">
        <v>509.51</v>
      </c>
      <c r="AS109" s="44"/>
      <c r="AT109" s="44">
        <f t="shared" si="32"/>
        <v>20380.400000000001</v>
      </c>
      <c r="AU109" s="44">
        <f t="shared" si="33"/>
        <v>20380.400000000001</v>
      </c>
      <c r="AV109" s="44"/>
      <c r="AW109" s="44"/>
      <c r="AX109" s="44" t="str">
        <f t="shared" si="34"/>
        <v/>
      </c>
      <c r="AY109" s="44" t="str">
        <f t="shared" si="35"/>
        <v/>
      </c>
    </row>
    <row r="110" spans="1:51" ht="17">
      <c r="A110" s="35" t="s">
        <v>95</v>
      </c>
      <c r="B110" s="36">
        <v>20</v>
      </c>
      <c r="C110" s="37">
        <v>419.71</v>
      </c>
      <c r="D110" s="38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>
        <v>419.71</v>
      </c>
      <c r="AO110" s="35"/>
      <c r="AP110" s="35"/>
      <c r="AQ110" s="35"/>
      <c r="AR110" s="35"/>
      <c r="AS110" s="35"/>
      <c r="AT110" s="39" t="str">
        <f t="shared" si="32"/>
        <v/>
      </c>
      <c r="AU110" s="39" t="str">
        <f t="shared" si="33"/>
        <v/>
      </c>
      <c r="AV110" s="35"/>
      <c r="AW110" s="35"/>
      <c r="AX110" s="39" t="str">
        <f t="shared" si="34"/>
        <v/>
      </c>
      <c r="AY110" s="39" t="str">
        <f t="shared" si="35"/>
        <v/>
      </c>
    </row>
    <row r="111" spans="1:51" ht="17">
      <c r="A111" s="35" t="s">
        <v>96</v>
      </c>
      <c r="B111" s="36">
        <v>20</v>
      </c>
      <c r="C111" s="37">
        <v>379.03</v>
      </c>
      <c r="D111" s="38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>
        <v>379.03</v>
      </c>
      <c r="AO111" s="35"/>
      <c r="AP111" s="35"/>
      <c r="AQ111" s="35"/>
      <c r="AR111" s="35"/>
      <c r="AS111" s="35"/>
      <c r="AT111" s="39" t="str">
        <f t="shared" si="32"/>
        <v/>
      </c>
      <c r="AU111" s="39" t="str">
        <f t="shared" si="33"/>
        <v/>
      </c>
      <c r="AV111" s="35"/>
      <c r="AW111" s="35"/>
      <c r="AX111" s="39" t="str">
        <f t="shared" si="34"/>
        <v/>
      </c>
      <c r="AY111" s="39" t="str">
        <f t="shared" si="35"/>
        <v/>
      </c>
    </row>
    <row r="112" spans="1:51" ht="16">
      <c r="A112" s="40" t="s">
        <v>245</v>
      </c>
      <c r="B112" s="41">
        <v>10</v>
      </c>
      <c r="C112" s="42"/>
      <c r="D112" s="43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 t="str">
        <f>IF(AJ112="","",IF(AF112="",(AJ112-C112)*B112,(AJ112-AF112)*B112))</f>
        <v/>
      </c>
      <c r="AM112" s="44" t="str">
        <f>IF(AL112="","",AK112+AL112)</f>
        <v/>
      </c>
      <c r="AN112" s="44"/>
      <c r="AO112" s="44"/>
      <c r="AP112" s="44" t="str">
        <f>IF(AN112="","",IF(AJ112="",(AN112-C112)*B112,(AN112-AJ112)*B112))</f>
        <v/>
      </c>
      <c r="AQ112" s="44" t="str">
        <f>IF(AP112="","",AP112+AO112)</f>
        <v/>
      </c>
      <c r="AR112" s="44">
        <v>164.24</v>
      </c>
      <c r="AS112" s="44"/>
      <c r="AT112" s="44">
        <f t="shared" si="32"/>
        <v>1642.4</v>
      </c>
      <c r="AU112" s="44">
        <f t="shared" si="33"/>
        <v>1642.4</v>
      </c>
      <c r="AV112" s="44"/>
      <c r="AW112" s="44"/>
      <c r="AX112" s="44" t="str">
        <f t="shared" si="34"/>
        <v/>
      </c>
      <c r="AY112" s="44" t="str">
        <f t="shared" si="35"/>
        <v/>
      </c>
    </row>
    <row r="113" spans="1:51" ht="16">
      <c r="A113" s="40" t="s">
        <v>270</v>
      </c>
      <c r="B113" s="41">
        <v>1</v>
      </c>
      <c r="C113" s="42"/>
      <c r="D113" s="43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 t="str">
        <f>IF(AJ113="","",IF(AF113="",(AJ113-C113)*B113,(AJ113-AF113)*B113))</f>
        <v/>
      </c>
      <c r="AM113" s="44" t="str">
        <f>IF(AL113="","",AK113+AL113)</f>
        <v/>
      </c>
      <c r="AN113" s="44"/>
      <c r="AO113" s="44"/>
      <c r="AP113" s="44" t="str">
        <f>IF(AN113="","",IF(AJ113="",(AN113-C113)*B113,(AN113-AJ113)*B113))</f>
        <v/>
      </c>
      <c r="AQ113" s="44" t="str">
        <f>IF(AP113="","",AP113+AO113)</f>
        <v/>
      </c>
      <c r="AR113" s="44">
        <v>861.53</v>
      </c>
      <c r="AS113" s="44"/>
      <c r="AT113" s="44">
        <f t="shared" si="32"/>
        <v>861.53</v>
      </c>
      <c r="AU113" s="44">
        <f t="shared" si="33"/>
        <v>861.53</v>
      </c>
      <c r="AV113" s="44"/>
      <c r="AW113" s="44"/>
      <c r="AX113" s="44" t="str">
        <f t="shared" si="34"/>
        <v/>
      </c>
      <c r="AY113" s="44" t="str">
        <f t="shared" si="35"/>
        <v/>
      </c>
    </row>
    <row r="114" spans="1:51" ht="16">
      <c r="A114" s="40" t="s">
        <v>244</v>
      </c>
      <c r="B114" s="41">
        <v>40</v>
      </c>
      <c r="C114" s="42"/>
      <c r="D114" s="43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 t="str">
        <f>IF(AJ114="","",IF(AF114="",(AJ114-C114)*B114,(AJ114-AF114)*B114))</f>
        <v/>
      </c>
      <c r="AM114" s="44" t="str">
        <f>IF(AL114="","",AK114+AL114)</f>
        <v/>
      </c>
      <c r="AN114" s="44"/>
      <c r="AO114" s="44"/>
      <c r="AP114" s="44" t="str">
        <f>IF(AN114="","",IF(AJ114="",(AN114-C114)*B114,(AN114-AJ114)*B114))</f>
        <v/>
      </c>
      <c r="AQ114" s="44" t="str">
        <f>IF(AP114="","",AP114+AO114)</f>
        <v/>
      </c>
      <c r="AR114" s="44">
        <v>436.81</v>
      </c>
      <c r="AS114" s="44"/>
      <c r="AT114" s="44">
        <f t="shared" si="32"/>
        <v>17472.400000000001</v>
      </c>
      <c r="AU114" s="44">
        <f t="shared" si="33"/>
        <v>17472.400000000001</v>
      </c>
      <c r="AV114" s="44"/>
      <c r="AW114" s="44"/>
      <c r="AX114" s="44" t="str">
        <f t="shared" si="34"/>
        <v/>
      </c>
      <c r="AY114" s="44" t="str">
        <f t="shared" si="35"/>
        <v/>
      </c>
    </row>
    <row r="115" spans="1:51" ht="17">
      <c r="A115" s="35" t="s">
        <v>97</v>
      </c>
      <c r="B115" s="36">
        <v>20</v>
      </c>
      <c r="C115" s="37">
        <v>418.48</v>
      </c>
      <c r="D115" s="38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>
        <v>418.48</v>
      </c>
      <c r="AO115" s="35"/>
      <c r="AP115" s="35"/>
      <c r="AQ115" s="35"/>
      <c r="AR115" s="35"/>
      <c r="AS115" s="35"/>
      <c r="AT115" s="39" t="str">
        <f t="shared" si="32"/>
        <v/>
      </c>
      <c r="AU115" s="39" t="str">
        <f t="shared" si="33"/>
        <v/>
      </c>
      <c r="AV115" s="35"/>
      <c r="AW115" s="35"/>
      <c r="AX115" s="39" t="str">
        <f t="shared" si="34"/>
        <v/>
      </c>
      <c r="AY115" s="39" t="str">
        <f t="shared" si="35"/>
        <v/>
      </c>
    </row>
    <row r="116" spans="1:51" ht="17">
      <c r="A116" s="35" t="s">
        <v>98</v>
      </c>
      <c r="B116" s="36">
        <v>20</v>
      </c>
      <c r="C116" s="37">
        <v>457.64</v>
      </c>
      <c r="D116" s="38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>
        <v>457.64</v>
      </c>
      <c r="AO116" s="35"/>
      <c r="AP116" s="35"/>
      <c r="AQ116" s="35"/>
      <c r="AR116" s="35"/>
      <c r="AS116" s="35"/>
      <c r="AT116" s="39" t="str">
        <f t="shared" si="32"/>
        <v/>
      </c>
      <c r="AU116" s="39" t="str">
        <f t="shared" si="33"/>
        <v/>
      </c>
      <c r="AV116" s="35"/>
      <c r="AW116" s="35"/>
      <c r="AX116" s="39" t="str">
        <f t="shared" si="34"/>
        <v/>
      </c>
      <c r="AY116" s="39" t="str">
        <f t="shared" si="35"/>
        <v/>
      </c>
    </row>
    <row r="117" spans="1:51" ht="16">
      <c r="A117" s="40" t="s">
        <v>247</v>
      </c>
      <c r="B117" s="41">
        <v>10</v>
      </c>
      <c r="C117" s="42"/>
      <c r="D117" s="43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 t="str">
        <f t="shared" ref="AL117:AL122" si="36">IF(AJ117="","",IF(AF117="",(AJ117-C117)*B117,(AJ117-AF117)*B117))</f>
        <v/>
      </c>
      <c r="AM117" s="44" t="str">
        <f t="shared" ref="AM117:AM123" si="37">IF(AL117="","",AK117+AL117)</f>
        <v/>
      </c>
      <c r="AN117" s="44"/>
      <c r="AO117" s="44"/>
      <c r="AP117" s="44" t="str">
        <f t="shared" ref="AP117:AP132" si="38">IF(AN117="","",IF(AJ117="",(AN117-C117)*B117,(AN117-AJ117)*B117))</f>
        <v/>
      </c>
      <c r="AQ117" s="44" t="str">
        <f t="shared" ref="AQ117:AQ132" si="39">IF(AP117="","",AP117+AO117)</f>
        <v/>
      </c>
      <c r="AR117" s="44">
        <v>146.19999999999999</v>
      </c>
      <c r="AS117" s="44"/>
      <c r="AT117" s="44">
        <f t="shared" si="32"/>
        <v>1462</v>
      </c>
      <c r="AU117" s="44">
        <f t="shared" si="33"/>
        <v>1462</v>
      </c>
      <c r="AV117" s="44"/>
      <c r="AW117" s="44"/>
      <c r="AX117" s="44" t="str">
        <f t="shared" si="34"/>
        <v/>
      </c>
      <c r="AY117" s="44" t="str">
        <f t="shared" si="35"/>
        <v/>
      </c>
    </row>
    <row r="118" spans="1:51" ht="16">
      <c r="A118" s="40" t="s">
        <v>271</v>
      </c>
      <c r="B118" s="41">
        <v>1</v>
      </c>
      <c r="C118" s="42"/>
      <c r="D118" s="43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 t="str">
        <f t="shared" si="36"/>
        <v/>
      </c>
      <c r="AM118" s="44" t="str">
        <f t="shared" si="37"/>
        <v/>
      </c>
      <c r="AN118" s="44"/>
      <c r="AO118" s="44"/>
      <c r="AP118" s="44" t="str">
        <f t="shared" si="38"/>
        <v/>
      </c>
      <c r="AQ118" s="44" t="str">
        <f t="shared" si="39"/>
        <v/>
      </c>
      <c r="AR118" s="44">
        <v>3062.28</v>
      </c>
      <c r="AS118" s="44"/>
      <c r="AT118" s="44">
        <f t="shared" si="32"/>
        <v>3062.28</v>
      </c>
      <c r="AU118" s="44">
        <f t="shared" si="33"/>
        <v>3062.28</v>
      </c>
      <c r="AV118" s="44"/>
      <c r="AW118" s="44"/>
      <c r="AX118" s="44" t="str">
        <f t="shared" si="34"/>
        <v/>
      </c>
      <c r="AY118" s="44" t="str">
        <f t="shared" si="35"/>
        <v/>
      </c>
    </row>
    <row r="119" spans="1:51" ht="16">
      <c r="A119" s="40" t="s">
        <v>246</v>
      </c>
      <c r="B119" s="41">
        <v>40</v>
      </c>
      <c r="C119" s="42"/>
      <c r="D119" s="43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 t="str">
        <f t="shared" si="36"/>
        <v/>
      </c>
      <c r="AM119" s="44" t="str">
        <f t="shared" si="37"/>
        <v/>
      </c>
      <c r="AN119" s="44"/>
      <c r="AO119" s="44"/>
      <c r="AP119" s="44" t="str">
        <f t="shared" si="38"/>
        <v/>
      </c>
      <c r="AQ119" s="44" t="str">
        <f t="shared" si="39"/>
        <v/>
      </c>
      <c r="AR119" s="44">
        <v>468.52</v>
      </c>
      <c r="AS119" s="44"/>
      <c r="AT119" s="44">
        <f t="shared" si="32"/>
        <v>18740.8</v>
      </c>
      <c r="AU119" s="44">
        <f t="shared" si="33"/>
        <v>18740.8</v>
      </c>
      <c r="AV119" s="44"/>
      <c r="AW119" s="44"/>
      <c r="AX119" s="44" t="str">
        <f t="shared" si="34"/>
        <v/>
      </c>
      <c r="AY119" s="44" t="str">
        <f t="shared" si="35"/>
        <v/>
      </c>
    </row>
    <row r="120" spans="1:51" ht="16">
      <c r="A120" s="40" t="s">
        <v>288</v>
      </c>
      <c r="B120" s="41">
        <v>10</v>
      </c>
      <c r="C120" s="42"/>
      <c r="D120" s="43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 t="str">
        <f t="shared" si="36"/>
        <v/>
      </c>
      <c r="AM120" s="44" t="str">
        <f t="shared" si="37"/>
        <v/>
      </c>
      <c r="AN120" s="44"/>
      <c r="AO120" s="44"/>
      <c r="AP120" s="44" t="str">
        <f t="shared" si="38"/>
        <v/>
      </c>
      <c r="AQ120" s="44" t="str">
        <f t="shared" si="39"/>
        <v/>
      </c>
      <c r="AR120" s="44">
        <v>171.75</v>
      </c>
      <c r="AS120" s="44"/>
      <c r="AT120" s="44">
        <f t="shared" si="32"/>
        <v>1717.5</v>
      </c>
      <c r="AU120" s="44">
        <f t="shared" si="33"/>
        <v>1717.5</v>
      </c>
      <c r="AV120" s="44"/>
      <c r="AW120" s="44"/>
      <c r="AX120" s="44" t="str">
        <f t="shared" si="34"/>
        <v/>
      </c>
      <c r="AY120" s="44" t="str">
        <f t="shared" si="35"/>
        <v/>
      </c>
    </row>
    <row r="121" spans="1:51" ht="16">
      <c r="A121" s="40" t="s">
        <v>287</v>
      </c>
      <c r="B121" s="41">
        <v>1</v>
      </c>
      <c r="C121" s="42"/>
      <c r="D121" s="43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 t="str">
        <f t="shared" si="36"/>
        <v/>
      </c>
      <c r="AM121" s="44" t="str">
        <f t="shared" si="37"/>
        <v/>
      </c>
      <c r="AN121" s="44"/>
      <c r="AO121" s="44"/>
      <c r="AP121" s="44" t="str">
        <f t="shared" si="38"/>
        <v/>
      </c>
      <c r="AQ121" s="44" t="str">
        <f t="shared" si="39"/>
        <v/>
      </c>
      <c r="AR121" s="44">
        <v>901.33</v>
      </c>
      <c r="AS121" s="44"/>
      <c r="AT121" s="44">
        <f t="shared" si="32"/>
        <v>901.33</v>
      </c>
      <c r="AU121" s="44">
        <f t="shared" si="33"/>
        <v>901.33</v>
      </c>
      <c r="AV121" s="44"/>
      <c r="AW121" s="44"/>
      <c r="AX121" s="44" t="str">
        <f t="shared" si="34"/>
        <v/>
      </c>
      <c r="AY121" s="44" t="str">
        <f t="shared" si="35"/>
        <v/>
      </c>
    </row>
    <row r="122" spans="1:51" ht="16">
      <c r="A122" s="40" t="s">
        <v>289</v>
      </c>
      <c r="B122" s="41">
        <v>40</v>
      </c>
      <c r="C122" s="42"/>
      <c r="D122" s="43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 t="str">
        <f t="shared" si="36"/>
        <v/>
      </c>
      <c r="AM122" s="44" t="str">
        <f t="shared" si="37"/>
        <v/>
      </c>
      <c r="AN122" s="44"/>
      <c r="AO122" s="44"/>
      <c r="AP122" s="44" t="str">
        <f t="shared" si="38"/>
        <v/>
      </c>
      <c r="AQ122" s="44" t="str">
        <f t="shared" si="39"/>
        <v/>
      </c>
      <c r="AR122" s="44">
        <v>391.41</v>
      </c>
      <c r="AS122" s="44"/>
      <c r="AT122" s="44">
        <f t="shared" si="32"/>
        <v>15656.400000000001</v>
      </c>
      <c r="AU122" s="44">
        <f t="shared" si="33"/>
        <v>15656.400000000001</v>
      </c>
      <c r="AV122" s="44"/>
      <c r="AW122" s="44"/>
      <c r="AX122" s="44" t="str">
        <f t="shared" si="34"/>
        <v/>
      </c>
      <c r="AY122" s="44" t="str">
        <f t="shared" si="35"/>
        <v/>
      </c>
    </row>
    <row r="123" spans="1:51" ht="17">
      <c r="A123" s="35" t="s">
        <v>99</v>
      </c>
      <c r="B123" s="36">
        <v>1</v>
      </c>
      <c r="C123" s="37"/>
      <c r="D123" s="38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>
        <v>0</v>
      </c>
      <c r="AK123" s="35"/>
      <c r="AL123" s="35"/>
      <c r="AM123" s="35" t="str">
        <f t="shared" si="37"/>
        <v/>
      </c>
      <c r="AN123" s="35">
        <v>155</v>
      </c>
      <c r="AO123" s="35"/>
      <c r="AP123" s="39">
        <f t="shared" si="38"/>
        <v>155</v>
      </c>
      <c r="AQ123" s="39">
        <f t="shared" si="39"/>
        <v>155</v>
      </c>
      <c r="AR123" s="35">
        <v>864</v>
      </c>
      <c r="AS123" s="35"/>
      <c r="AT123" s="39">
        <f t="shared" si="32"/>
        <v>709</v>
      </c>
      <c r="AU123" s="39">
        <f t="shared" si="33"/>
        <v>709</v>
      </c>
      <c r="AV123" s="35"/>
      <c r="AW123" s="35"/>
      <c r="AX123" s="39" t="str">
        <f t="shared" si="34"/>
        <v/>
      </c>
      <c r="AY123" s="39" t="str">
        <f t="shared" si="35"/>
        <v/>
      </c>
    </row>
    <row r="124" spans="1:51" ht="17">
      <c r="A124" s="35" t="s">
        <v>100</v>
      </c>
      <c r="B124" s="36">
        <v>1</v>
      </c>
      <c r="C124" s="37"/>
      <c r="D124" s="38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>
        <v>0</v>
      </c>
      <c r="AK124" s="35"/>
      <c r="AL124" s="35"/>
      <c r="AM124" s="35"/>
      <c r="AN124" s="35">
        <v>57</v>
      </c>
      <c r="AO124" s="35"/>
      <c r="AP124" s="39">
        <f t="shared" si="38"/>
        <v>57</v>
      </c>
      <c r="AQ124" s="39">
        <f t="shared" si="39"/>
        <v>57</v>
      </c>
      <c r="AR124" s="35"/>
      <c r="AS124" s="35"/>
      <c r="AT124" s="39" t="str">
        <f t="shared" si="32"/>
        <v/>
      </c>
      <c r="AU124" s="39" t="str">
        <f t="shared" si="33"/>
        <v/>
      </c>
      <c r="AV124" s="35"/>
      <c r="AW124" s="35"/>
      <c r="AX124" s="39" t="str">
        <f t="shared" si="34"/>
        <v/>
      </c>
      <c r="AY124" s="39" t="str">
        <f t="shared" si="35"/>
        <v/>
      </c>
    </row>
    <row r="125" spans="1:51" ht="16">
      <c r="A125" s="40" t="s">
        <v>249</v>
      </c>
      <c r="B125" s="41">
        <v>10</v>
      </c>
      <c r="C125" s="40"/>
      <c r="D125" s="43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 t="str">
        <f t="shared" ref="AL125:AL132" si="40">IF(AJ125="","",IF(AF125="",(AJ125-C125)*B125,(AJ125-AF125)*B125))</f>
        <v/>
      </c>
      <c r="AM125" s="44" t="str">
        <f t="shared" ref="AM125:AM132" si="41">IF(AL125="","",AK125+AL125)</f>
        <v/>
      </c>
      <c r="AN125" s="44"/>
      <c r="AO125" s="44"/>
      <c r="AP125" s="44" t="str">
        <f t="shared" si="38"/>
        <v/>
      </c>
      <c r="AQ125" s="44" t="str">
        <f t="shared" si="39"/>
        <v/>
      </c>
      <c r="AR125" s="44">
        <v>163.41</v>
      </c>
      <c r="AS125" s="44"/>
      <c r="AT125" s="44">
        <f t="shared" si="32"/>
        <v>1634.1</v>
      </c>
      <c r="AU125" s="44">
        <f t="shared" si="33"/>
        <v>1634.1</v>
      </c>
      <c r="AV125" s="44"/>
      <c r="AW125" s="44"/>
      <c r="AX125" s="44" t="str">
        <f t="shared" si="34"/>
        <v/>
      </c>
      <c r="AY125" s="44" t="str">
        <f t="shared" si="35"/>
        <v/>
      </c>
    </row>
    <row r="126" spans="1:51" ht="16">
      <c r="A126" s="40" t="s">
        <v>272</v>
      </c>
      <c r="B126" s="41">
        <v>1</v>
      </c>
      <c r="C126" s="40"/>
      <c r="D126" s="43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 t="str">
        <f t="shared" si="40"/>
        <v/>
      </c>
      <c r="AM126" s="44" t="str">
        <f t="shared" si="41"/>
        <v/>
      </c>
      <c r="AN126" s="44"/>
      <c r="AO126" s="44"/>
      <c r="AP126" s="44" t="str">
        <f t="shared" si="38"/>
        <v/>
      </c>
      <c r="AQ126" s="44" t="str">
        <f t="shared" si="39"/>
        <v/>
      </c>
      <c r="AR126" s="44">
        <v>3642.19</v>
      </c>
      <c r="AS126" s="44"/>
      <c r="AT126" s="44">
        <f t="shared" si="32"/>
        <v>3642.19</v>
      </c>
      <c r="AU126" s="44">
        <f t="shared" si="33"/>
        <v>3642.19</v>
      </c>
      <c r="AV126" s="44"/>
      <c r="AW126" s="44"/>
      <c r="AX126" s="44" t="str">
        <f t="shared" si="34"/>
        <v/>
      </c>
      <c r="AY126" s="44" t="str">
        <f t="shared" si="35"/>
        <v/>
      </c>
    </row>
    <row r="127" spans="1:51" ht="16">
      <c r="A127" s="40" t="s">
        <v>248</v>
      </c>
      <c r="B127" s="41">
        <v>40</v>
      </c>
      <c r="C127" s="40"/>
      <c r="D127" s="43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 t="str">
        <f t="shared" si="40"/>
        <v/>
      </c>
      <c r="AM127" s="44" t="str">
        <f t="shared" si="41"/>
        <v/>
      </c>
      <c r="AN127" s="44"/>
      <c r="AO127" s="44"/>
      <c r="AP127" s="44" t="str">
        <f t="shared" si="38"/>
        <v/>
      </c>
      <c r="AQ127" s="44" t="str">
        <f t="shared" si="39"/>
        <v/>
      </c>
      <c r="AR127" s="44">
        <v>488.87</v>
      </c>
      <c r="AS127" s="44"/>
      <c r="AT127" s="44">
        <f t="shared" si="32"/>
        <v>19554.8</v>
      </c>
      <c r="AU127" s="44">
        <f t="shared" si="33"/>
        <v>19554.8</v>
      </c>
      <c r="AV127" s="44"/>
      <c r="AW127" s="44"/>
      <c r="AX127" s="44" t="str">
        <f t="shared" si="34"/>
        <v/>
      </c>
      <c r="AY127" s="44" t="str">
        <f t="shared" si="35"/>
        <v/>
      </c>
    </row>
    <row r="128" spans="1:51" ht="17">
      <c r="A128" s="35" t="s">
        <v>101</v>
      </c>
      <c r="B128" s="36">
        <v>20</v>
      </c>
      <c r="C128" s="42"/>
      <c r="D128" s="38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>
        <v>496.83</v>
      </c>
      <c r="AK128" s="35"/>
      <c r="AL128" s="35">
        <f t="shared" si="40"/>
        <v>9936.6</v>
      </c>
      <c r="AM128" s="35">
        <f t="shared" si="41"/>
        <v>9936.6</v>
      </c>
      <c r="AN128" s="35">
        <v>498.99</v>
      </c>
      <c r="AO128" s="35"/>
      <c r="AP128" s="39">
        <f t="shared" si="38"/>
        <v>43.2000000000005</v>
      </c>
      <c r="AQ128" s="39">
        <f t="shared" si="39"/>
        <v>43.2000000000005</v>
      </c>
      <c r="AR128" s="35">
        <v>515</v>
      </c>
      <c r="AS128" s="35"/>
      <c r="AT128" s="39">
        <f t="shared" si="32"/>
        <v>320.19999999999982</v>
      </c>
      <c r="AU128" s="39">
        <f t="shared" si="33"/>
        <v>320.19999999999982</v>
      </c>
      <c r="AV128" s="35"/>
      <c r="AW128" s="35"/>
      <c r="AX128" s="39" t="str">
        <f t="shared" si="34"/>
        <v/>
      </c>
      <c r="AY128" s="39" t="str">
        <f t="shared" si="35"/>
        <v/>
      </c>
    </row>
    <row r="129" spans="1:51" ht="17">
      <c r="A129" s="35" t="s">
        <v>102</v>
      </c>
      <c r="B129" s="36">
        <v>20</v>
      </c>
      <c r="C129" s="42"/>
      <c r="D129" s="38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>
        <v>10.74</v>
      </c>
      <c r="AK129" s="35"/>
      <c r="AL129" s="35">
        <f t="shared" si="40"/>
        <v>214.8</v>
      </c>
      <c r="AM129" s="35">
        <f t="shared" si="41"/>
        <v>214.8</v>
      </c>
      <c r="AN129" s="35">
        <v>22.83</v>
      </c>
      <c r="AO129" s="35"/>
      <c r="AP129" s="39">
        <f t="shared" si="38"/>
        <v>241.79999999999995</v>
      </c>
      <c r="AQ129" s="39">
        <f t="shared" si="39"/>
        <v>241.79999999999995</v>
      </c>
      <c r="AR129" s="35">
        <v>81.98</v>
      </c>
      <c r="AS129" s="35"/>
      <c r="AT129" s="39">
        <f t="shared" si="32"/>
        <v>1183</v>
      </c>
      <c r="AU129" s="39">
        <f t="shared" si="33"/>
        <v>1183</v>
      </c>
      <c r="AV129" s="35"/>
      <c r="AW129" s="35"/>
      <c r="AX129" s="39" t="str">
        <f t="shared" si="34"/>
        <v/>
      </c>
      <c r="AY129" s="39" t="str">
        <f t="shared" si="35"/>
        <v/>
      </c>
    </row>
    <row r="130" spans="1:51" ht="17">
      <c r="A130" s="35" t="s">
        <v>103</v>
      </c>
      <c r="B130" s="36">
        <v>10</v>
      </c>
      <c r="C130" s="42"/>
      <c r="D130" s="38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 t="str">
        <f t="shared" si="40"/>
        <v/>
      </c>
      <c r="AM130" s="35" t="str">
        <f t="shared" si="41"/>
        <v/>
      </c>
      <c r="AN130" s="35"/>
      <c r="AO130" s="35"/>
      <c r="AP130" s="39" t="str">
        <f t="shared" si="38"/>
        <v/>
      </c>
      <c r="AQ130" s="39" t="str">
        <f t="shared" si="39"/>
        <v/>
      </c>
      <c r="AR130" s="35">
        <v>552.6</v>
      </c>
      <c r="AS130" s="35"/>
      <c r="AT130" s="39">
        <f t="shared" si="32"/>
        <v>5526</v>
      </c>
      <c r="AU130" s="39">
        <f t="shared" si="33"/>
        <v>5526</v>
      </c>
      <c r="AV130" s="35"/>
      <c r="AW130" s="35"/>
      <c r="AX130" s="39" t="str">
        <f t="shared" si="34"/>
        <v/>
      </c>
      <c r="AY130" s="39" t="str">
        <f t="shared" si="35"/>
        <v/>
      </c>
    </row>
    <row r="131" spans="1:51" ht="16">
      <c r="A131" s="40" t="s">
        <v>273</v>
      </c>
      <c r="B131" s="41">
        <v>1</v>
      </c>
      <c r="C131" s="42"/>
      <c r="D131" s="43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 t="str">
        <f t="shared" si="40"/>
        <v/>
      </c>
      <c r="AM131" s="44" t="str">
        <f t="shared" si="41"/>
        <v/>
      </c>
      <c r="AN131" s="44"/>
      <c r="AO131" s="44"/>
      <c r="AP131" s="44" t="str">
        <f t="shared" si="38"/>
        <v/>
      </c>
      <c r="AQ131" s="44" t="str">
        <f t="shared" si="39"/>
        <v/>
      </c>
      <c r="AR131" s="44">
        <v>4452.88</v>
      </c>
      <c r="AS131" s="44"/>
      <c r="AT131" s="44">
        <f t="shared" si="32"/>
        <v>4452.88</v>
      </c>
      <c r="AU131" s="44">
        <f t="shared" si="33"/>
        <v>4452.88</v>
      </c>
      <c r="AV131" s="44"/>
      <c r="AW131" s="44"/>
      <c r="AX131" s="44" t="str">
        <f t="shared" si="34"/>
        <v/>
      </c>
      <c r="AY131" s="44" t="str">
        <f t="shared" si="35"/>
        <v/>
      </c>
    </row>
    <row r="132" spans="1:51" ht="17">
      <c r="A132" s="35" t="s">
        <v>104</v>
      </c>
      <c r="B132" s="36">
        <v>40</v>
      </c>
      <c r="C132" s="42"/>
      <c r="D132" s="38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 t="str">
        <f t="shared" si="40"/>
        <v/>
      </c>
      <c r="AM132" s="35" t="str">
        <f t="shared" si="41"/>
        <v/>
      </c>
      <c r="AN132" s="35">
        <v>733.57</v>
      </c>
      <c r="AO132" s="35"/>
      <c r="AP132" s="39">
        <f t="shared" si="38"/>
        <v>29342.800000000003</v>
      </c>
      <c r="AQ132" s="39">
        <f t="shared" si="39"/>
        <v>29342.800000000003</v>
      </c>
      <c r="AR132" s="35">
        <v>771.43</v>
      </c>
      <c r="AS132" s="35"/>
      <c r="AT132" s="39">
        <f t="shared" si="32"/>
        <v>1514.399999999996</v>
      </c>
      <c r="AU132" s="39">
        <f t="shared" ref="AU132" si="42">IF(AR132="","",AS132+AT132)</f>
        <v>1514.399999999996</v>
      </c>
      <c r="AV132" s="35"/>
      <c r="AW132" s="35"/>
      <c r="AX132" s="39" t="str">
        <f t="shared" si="34"/>
        <v/>
      </c>
      <c r="AY132" s="39" t="str">
        <f t="shared" ref="AY132" si="43">IF(AV132="","",AW132+AX132)</f>
        <v/>
      </c>
    </row>
  </sheetData>
  <mergeCells count="15">
    <mergeCell ref="AR1:AU1"/>
    <mergeCell ref="AV1:AY1"/>
    <mergeCell ref="A1:A2"/>
    <mergeCell ref="B1:B2"/>
    <mergeCell ref="C1:C2"/>
    <mergeCell ref="X1:AA1"/>
    <mergeCell ref="AB1:AE1"/>
    <mergeCell ref="AF1:AI1"/>
    <mergeCell ref="AJ1:AM1"/>
    <mergeCell ref="AN1:AQ1"/>
    <mergeCell ref="D1:G1"/>
    <mergeCell ref="H1:K1"/>
    <mergeCell ref="L1:O1"/>
    <mergeCell ref="P1:S1"/>
    <mergeCell ref="T1:W1"/>
  </mergeCells>
  <phoneticPr fontId="10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345B-EAAC-4D18-AEF6-BD72F461A4A4}">
  <sheetPr>
    <tabColor theme="9" tint="-0.249977111117893"/>
  </sheetPr>
  <dimension ref="A1:P28"/>
  <sheetViews>
    <sheetView workbookViewId="0">
      <selection activeCell="J8" sqref="J8"/>
    </sheetView>
  </sheetViews>
  <sheetFormatPr baseColWidth="10" defaultColWidth="8.83203125" defaultRowHeight="14"/>
  <cols>
    <col min="1" max="1" width="9.6640625" bestFit="1" customWidth="1"/>
    <col min="2" max="2" width="33.83203125" bestFit="1" customWidth="1"/>
    <col min="3" max="4" width="7.6640625" bestFit="1" customWidth="1"/>
    <col min="5" max="6" width="11.1640625" bestFit="1" customWidth="1"/>
    <col min="7" max="7" width="13.1640625" bestFit="1" customWidth="1"/>
    <col min="8" max="8" width="15.33203125" bestFit="1" customWidth="1"/>
    <col min="9" max="10" width="11.1640625" bestFit="1" customWidth="1"/>
    <col min="11" max="11" width="13.1640625" bestFit="1" customWidth="1"/>
    <col min="12" max="12" width="15.33203125" bestFit="1" customWidth="1"/>
    <col min="13" max="14" width="11.1640625" bestFit="1" customWidth="1"/>
    <col min="15" max="15" width="13.1640625" bestFit="1" customWidth="1"/>
    <col min="16" max="16" width="15.33203125" bestFit="1" customWidth="1"/>
  </cols>
  <sheetData>
    <row r="1" spans="1:16">
      <c r="A1" t="s">
        <v>147</v>
      </c>
      <c r="B1" t="s">
        <v>215</v>
      </c>
      <c r="C1" t="s">
        <v>112</v>
      </c>
      <c r="D1" t="s">
        <v>2</v>
      </c>
      <c r="E1" t="s">
        <v>159</v>
      </c>
      <c r="F1" t="s">
        <v>161</v>
      </c>
      <c r="G1" t="s">
        <v>163</v>
      </c>
      <c r="H1" t="s">
        <v>165</v>
      </c>
      <c r="I1" t="s">
        <v>167</v>
      </c>
      <c r="J1" t="s">
        <v>169</v>
      </c>
      <c r="K1" t="s">
        <v>171</v>
      </c>
      <c r="L1" t="s">
        <v>173</v>
      </c>
      <c r="M1" t="s">
        <v>175</v>
      </c>
      <c r="N1" t="s">
        <v>177</v>
      </c>
      <c r="O1" t="s">
        <v>179</v>
      </c>
      <c r="P1" t="s">
        <v>181</v>
      </c>
    </row>
    <row r="2" spans="1:16">
      <c r="A2" t="s">
        <v>50</v>
      </c>
      <c r="B2" t="s">
        <v>184</v>
      </c>
      <c r="C2">
        <v>20</v>
      </c>
      <c r="E2">
        <v>178.58</v>
      </c>
      <c r="G2">
        <v>0</v>
      </c>
      <c r="H2">
        <v>0</v>
      </c>
      <c r="K2" t="s">
        <v>183</v>
      </c>
      <c r="L2" t="s">
        <v>183</v>
      </c>
      <c r="O2" t="s">
        <v>183</v>
      </c>
      <c r="P2" t="s">
        <v>183</v>
      </c>
    </row>
    <row r="3" spans="1:16">
      <c r="A3" t="s">
        <v>54</v>
      </c>
      <c r="B3" t="s">
        <v>186</v>
      </c>
      <c r="C3">
        <v>20</v>
      </c>
      <c r="D3">
        <v>1644.8</v>
      </c>
      <c r="E3">
        <v>1784.67</v>
      </c>
      <c r="F3">
        <v>860.39</v>
      </c>
      <c r="G3">
        <v>312.60000000000218</v>
      </c>
      <c r="H3">
        <v>1172.9900000000021</v>
      </c>
      <c r="K3" t="s">
        <v>183</v>
      </c>
      <c r="L3" t="s">
        <v>183</v>
      </c>
      <c r="O3" t="s">
        <v>183</v>
      </c>
      <c r="P3" t="s">
        <v>183</v>
      </c>
    </row>
    <row r="4" spans="1:16">
      <c r="A4" t="s">
        <v>55</v>
      </c>
      <c r="B4" t="s">
        <v>187</v>
      </c>
      <c r="C4">
        <v>20</v>
      </c>
      <c r="D4">
        <v>469.42</v>
      </c>
      <c r="E4">
        <v>658.93</v>
      </c>
      <c r="F4">
        <v>1920.03</v>
      </c>
      <c r="G4">
        <v>679.19999999999845</v>
      </c>
      <c r="H4">
        <v>2599.2299999999987</v>
      </c>
      <c r="K4" t="s">
        <v>183</v>
      </c>
      <c r="L4" t="s">
        <v>183</v>
      </c>
      <c r="O4" t="s">
        <v>183</v>
      </c>
      <c r="P4" t="s">
        <v>183</v>
      </c>
    </row>
    <row r="5" spans="1:16">
      <c r="A5" t="s">
        <v>58</v>
      </c>
      <c r="B5" t="s">
        <v>188</v>
      </c>
      <c r="C5">
        <v>20</v>
      </c>
      <c r="E5">
        <v>423.95</v>
      </c>
      <c r="G5">
        <v>2877.7999999999997</v>
      </c>
      <c r="H5">
        <v>2877.7999999999997</v>
      </c>
      <c r="K5" t="s">
        <v>183</v>
      </c>
      <c r="L5" t="s">
        <v>183</v>
      </c>
      <c r="O5" t="s">
        <v>183</v>
      </c>
      <c r="P5" t="s">
        <v>183</v>
      </c>
    </row>
    <row r="6" spans="1:16">
      <c r="A6" t="s">
        <v>62</v>
      </c>
      <c r="B6" t="s">
        <v>190</v>
      </c>
      <c r="C6">
        <v>20</v>
      </c>
      <c r="E6">
        <v>121.16</v>
      </c>
      <c r="F6">
        <v>1178.17</v>
      </c>
      <c r="G6">
        <v>677.59999999999991</v>
      </c>
      <c r="H6">
        <v>1855.77</v>
      </c>
      <c r="K6" t="s">
        <v>183</v>
      </c>
      <c r="L6" t="s">
        <v>183</v>
      </c>
      <c r="O6" t="s">
        <v>183</v>
      </c>
      <c r="P6" t="s">
        <v>183</v>
      </c>
    </row>
    <row r="7" spans="1:16">
      <c r="A7" t="s">
        <v>218</v>
      </c>
      <c r="B7" t="s">
        <v>219</v>
      </c>
      <c r="C7">
        <v>1</v>
      </c>
      <c r="K7" t="s">
        <v>183</v>
      </c>
      <c r="L7" t="s">
        <v>183</v>
      </c>
      <c r="O7" t="s">
        <v>183</v>
      </c>
      <c r="P7" t="s">
        <v>183</v>
      </c>
    </row>
    <row r="8" spans="1:16">
      <c r="A8" t="s">
        <v>221</v>
      </c>
      <c r="B8" t="s">
        <v>222</v>
      </c>
      <c r="C8">
        <v>1</v>
      </c>
      <c r="K8" t="s">
        <v>183</v>
      </c>
      <c r="L8" t="s">
        <v>183</v>
      </c>
      <c r="O8" t="s">
        <v>183</v>
      </c>
      <c r="P8" t="s">
        <v>183</v>
      </c>
    </row>
    <row r="9" spans="1:16">
      <c r="A9" t="s">
        <v>224</v>
      </c>
      <c r="B9" t="s">
        <v>225</v>
      </c>
      <c r="C9">
        <v>1</v>
      </c>
      <c r="K9" t="s">
        <v>183</v>
      </c>
      <c r="L9" t="s">
        <v>183</v>
      </c>
      <c r="O9" t="s">
        <v>183</v>
      </c>
      <c r="P9" t="s">
        <v>183</v>
      </c>
    </row>
    <row r="10" spans="1:16">
      <c r="A10" t="s">
        <v>66</v>
      </c>
      <c r="B10" t="s">
        <v>192</v>
      </c>
      <c r="C10">
        <v>1</v>
      </c>
      <c r="E10">
        <v>265.93</v>
      </c>
      <c r="F10">
        <v>257.68</v>
      </c>
      <c r="G10">
        <v>226.94</v>
      </c>
      <c r="H10">
        <v>484.62</v>
      </c>
      <c r="K10" t="s">
        <v>183</v>
      </c>
      <c r="L10" t="s">
        <v>183</v>
      </c>
      <c r="O10" t="s">
        <v>183</v>
      </c>
      <c r="P10" t="s">
        <v>183</v>
      </c>
    </row>
    <row r="11" spans="1:16">
      <c r="A11" t="s">
        <v>67</v>
      </c>
      <c r="B11" t="s">
        <v>194</v>
      </c>
      <c r="C11">
        <v>1</v>
      </c>
      <c r="E11">
        <v>121</v>
      </c>
      <c r="F11">
        <v>23.52</v>
      </c>
      <c r="G11">
        <v>89.15</v>
      </c>
      <c r="H11">
        <v>112.67</v>
      </c>
      <c r="K11" t="s">
        <v>183</v>
      </c>
      <c r="L11" t="s">
        <v>183</v>
      </c>
      <c r="O11" t="s">
        <v>183</v>
      </c>
      <c r="P11" t="s">
        <v>183</v>
      </c>
    </row>
    <row r="12" spans="1:16">
      <c r="A12" t="s">
        <v>70</v>
      </c>
      <c r="B12" t="s">
        <v>196</v>
      </c>
      <c r="C12">
        <v>20</v>
      </c>
      <c r="E12">
        <v>83.22</v>
      </c>
      <c r="F12">
        <v>273.82</v>
      </c>
      <c r="G12">
        <v>31.599999999999966</v>
      </c>
      <c r="H12">
        <v>305.41999999999996</v>
      </c>
      <c r="K12" t="s">
        <v>183</v>
      </c>
      <c r="L12" t="s">
        <v>183</v>
      </c>
      <c r="O12" t="s">
        <v>183</v>
      </c>
      <c r="P12" t="s">
        <v>183</v>
      </c>
    </row>
    <row r="13" spans="1:16">
      <c r="A13" t="s">
        <v>71</v>
      </c>
      <c r="B13" t="s">
        <v>198</v>
      </c>
      <c r="C13">
        <v>1</v>
      </c>
      <c r="E13">
        <v>24</v>
      </c>
      <c r="F13">
        <v>41.64</v>
      </c>
      <c r="G13">
        <v>24</v>
      </c>
      <c r="H13">
        <v>65.64</v>
      </c>
      <c r="K13" t="s">
        <v>183</v>
      </c>
      <c r="L13" t="s">
        <v>183</v>
      </c>
      <c r="O13" t="s">
        <v>183</v>
      </c>
      <c r="P13" t="s">
        <v>183</v>
      </c>
    </row>
    <row r="14" spans="1:16">
      <c r="A14" t="s">
        <v>72</v>
      </c>
      <c r="B14" t="s">
        <v>200</v>
      </c>
      <c r="C14">
        <v>1</v>
      </c>
      <c r="E14">
        <v>337.85</v>
      </c>
      <c r="F14">
        <v>152.13</v>
      </c>
      <c r="G14">
        <v>306.48</v>
      </c>
      <c r="H14">
        <v>458.61</v>
      </c>
      <c r="K14" t="s">
        <v>183</v>
      </c>
      <c r="L14" t="s">
        <v>183</v>
      </c>
      <c r="O14" t="s">
        <v>183</v>
      </c>
      <c r="P14" t="s">
        <v>183</v>
      </c>
    </row>
    <row r="15" spans="1:16">
      <c r="A15" t="s">
        <v>73</v>
      </c>
      <c r="B15" t="s">
        <v>202</v>
      </c>
      <c r="C15">
        <v>1</v>
      </c>
      <c r="E15">
        <v>91</v>
      </c>
      <c r="F15">
        <v>48.24</v>
      </c>
      <c r="G15">
        <v>55</v>
      </c>
      <c r="H15">
        <v>103.24000000000001</v>
      </c>
      <c r="K15" t="s">
        <v>183</v>
      </c>
      <c r="L15" t="s">
        <v>183</v>
      </c>
      <c r="O15" t="s">
        <v>183</v>
      </c>
      <c r="P15" t="s">
        <v>183</v>
      </c>
    </row>
    <row r="16" spans="1:16">
      <c r="A16" t="s">
        <v>82</v>
      </c>
      <c r="B16" t="s">
        <v>204</v>
      </c>
      <c r="C16">
        <v>1</v>
      </c>
      <c r="E16">
        <v>243.24</v>
      </c>
      <c r="G16">
        <v>104.81</v>
      </c>
      <c r="H16">
        <v>104.81</v>
      </c>
      <c r="K16" t="s">
        <v>183</v>
      </c>
      <c r="L16" t="s">
        <v>183</v>
      </c>
      <c r="O16" t="s">
        <v>183</v>
      </c>
      <c r="P16" t="s">
        <v>183</v>
      </c>
    </row>
    <row r="17" spans="1:16">
      <c r="A17" t="s">
        <v>83</v>
      </c>
      <c r="B17" t="s">
        <v>206</v>
      </c>
      <c r="C17">
        <v>1</v>
      </c>
      <c r="E17">
        <v>890.11</v>
      </c>
      <c r="G17">
        <v>493.65000000000003</v>
      </c>
      <c r="H17">
        <v>493.65000000000003</v>
      </c>
      <c r="K17" t="s">
        <v>183</v>
      </c>
      <c r="L17" t="s">
        <v>183</v>
      </c>
      <c r="O17" t="s">
        <v>183</v>
      </c>
      <c r="P17" t="s">
        <v>183</v>
      </c>
    </row>
    <row r="18" spans="1:16">
      <c r="A18" t="s">
        <v>91</v>
      </c>
      <c r="B18" t="s">
        <v>208</v>
      </c>
      <c r="C18">
        <v>20</v>
      </c>
      <c r="D18">
        <v>427.82</v>
      </c>
      <c r="K18" t="s">
        <v>183</v>
      </c>
      <c r="L18" t="s">
        <v>183</v>
      </c>
      <c r="O18" t="s">
        <v>183</v>
      </c>
      <c r="P18" t="s">
        <v>183</v>
      </c>
    </row>
    <row r="19" spans="1:16">
      <c r="A19" t="s">
        <v>92</v>
      </c>
      <c r="B19" t="s">
        <v>208</v>
      </c>
      <c r="C19">
        <v>20</v>
      </c>
      <c r="D19">
        <v>463.93</v>
      </c>
      <c r="K19" t="s">
        <v>183</v>
      </c>
      <c r="L19" t="s">
        <v>183</v>
      </c>
      <c r="O19" t="s">
        <v>183</v>
      </c>
      <c r="P19" t="s">
        <v>183</v>
      </c>
    </row>
    <row r="20" spans="1:16">
      <c r="A20" t="s">
        <v>93</v>
      </c>
      <c r="B20" t="s">
        <v>208</v>
      </c>
      <c r="C20">
        <v>20</v>
      </c>
      <c r="D20">
        <v>488.95</v>
      </c>
      <c r="K20" t="s">
        <v>183</v>
      </c>
      <c r="L20" t="s">
        <v>183</v>
      </c>
      <c r="O20" t="s">
        <v>183</v>
      </c>
      <c r="P20" t="s">
        <v>183</v>
      </c>
    </row>
    <row r="21" spans="1:16">
      <c r="A21" t="s">
        <v>94</v>
      </c>
      <c r="B21" t="s">
        <v>208</v>
      </c>
      <c r="C21">
        <v>20</v>
      </c>
      <c r="D21">
        <v>462.12</v>
      </c>
      <c r="K21" t="s">
        <v>183</v>
      </c>
      <c r="L21" t="s">
        <v>183</v>
      </c>
      <c r="O21" t="s">
        <v>183</v>
      </c>
      <c r="P21" t="s">
        <v>183</v>
      </c>
    </row>
    <row r="22" spans="1:16">
      <c r="A22" t="s">
        <v>95</v>
      </c>
      <c r="B22" t="s">
        <v>208</v>
      </c>
      <c r="C22">
        <v>20</v>
      </c>
      <c r="D22">
        <v>419.71</v>
      </c>
      <c r="K22" t="s">
        <v>183</v>
      </c>
      <c r="L22" t="s">
        <v>183</v>
      </c>
      <c r="O22" t="s">
        <v>183</v>
      </c>
      <c r="P22" t="s">
        <v>183</v>
      </c>
    </row>
    <row r="23" spans="1:16">
      <c r="A23" t="s">
        <v>96</v>
      </c>
      <c r="B23" t="s">
        <v>208</v>
      </c>
      <c r="C23">
        <v>20</v>
      </c>
      <c r="D23">
        <v>379.03</v>
      </c>
      <c r="K23" t="s">
        <v>183</v>
      </c>
      <c r="L23" t="s">
        <v>183</v>
      </c>
      <c r="O23" t="s">
        <v>183</v>
      </c>
      <c r="P23" t="s">
        <v>183</v>
      </c>
    </row>
    <row r="24" spans="1:16">
      <c r="A24" t="s">
        <v>97</v>
      </c>
      <c r="B24" t="s">
        <v>208</v>
      </c>
      <c r="C24">
        <v>20</v>
      </c>
      <c r="D24">
        <v>418.48</v>
      </c>
      <c r="K24" t="s">
        <v>183</v>
      </c>
      <c r="L24" t="s">
        <v>183</v>
      </c>
      <c r="O24" t="s">
        <v>183</v>
      </c>
      <c r="P24" t="s">
        <v>183</v>
      </c>
    </row>
    <row r="25" spans="1:16">
      <c r="A25" t="s">
        <v>98</v>
      </c>
      <c r="B25" t="s">
        <v>208</v>
      </c>
      <c r="C25">
        <v>20</v>
      </c>
      <c r="D25">
        <v>457.64</v>
      </c>
      <c r="K25" t="s">
        <v>183</v>
      </c>
      <c r="L25" t="s">
        <v>183</v>
      </c>
      <c r="O25" t="s">
        <v>183</v>
      </c>
      <c r="P25" t="s">
        <v>183</v>
      </c>
    </row>
    <row r="26" spans="1:16">
      <c r="A26" t="s">
        <v>99</v>
      </c>
      <c r="B26" t="s">
        <v>209</v>
      </c>
      <c r="C26">
        <v>1</v>
      </c>
      <c r="E26">
        <v>155</v>
      </c>
      <c r="G26">
        <v>155</v>
      </c>
      <c r="H26">
        <v>155</v>
      </c>
      <c r="K26" t="s">
        <v>183</v>
      </c>
      <c r="L26" t="s">
        <v>183</v>
      </c>
      <c r="O26" t="s">
        <v>183</v>
      </c>
      <c r="P26" t="s">
        <v>183</v>
      </c>
    </row>
    <row r="27" spans="1:16">
      <c r="A27" t="s">
        <v>100</v>
      </c>
      <c r="B27" t="s">
        <v>211</v>
      </c>
      <c r="C27">
        <v>1</v>
      </c>
      <c r="E27">
        <v>57</v>
      </c>
      <c r="G27">
        <v>57</v>
      </c>
      <c r="H27">
        <v>57</v>
      </c>
      <c r="K27" t="s">
        <v>183</v>
      </c>
      <c r="L27" t="s">
        <v>183</v>
      </c>
      <c r="O27" t="s">
        <v>183</v>
      </c>
      <c r="P27" t="s">
        <v>183</v>
      </c>
    </row>
    <row r="28" spans="1:16">
      <c r="A28" t="s">
        <v>101</v>
      </c>
      <c r="B28" t="s">
        <v>213</v>
      </c>
      <c r="C28">
        <v>20</v>
      </c>
      <c r="E28">
        <v>498.99</v>
      </c>
      <c r="G28">
        <v>43.2000000000005</v>
      </c>
      <c r="H28">
        <v>43.2000000000005</v>
      </c>
      <c r="K28" t="s">
        <v>183</v>
      </c>
      <c r="L28" t="s">
        <v>183</v>
      </c>
      <c r="O28" t="s">
        <v>183</v>
      </c>
      <c r="P28" t="s">
        <v>183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0.499984740745262"/>
  </sheetPr>
  <dimension ref="A1:AC133"/>
  <sheetViews>
    <sheetView topLeftCell="A24" zoomScale="91" zoomScaleNormal="91" workbookViewId="0">
      <selection activeCell="E143" sqref="E143"/>
    </sheetView>
  </sheetViews>
  <sheetFormatPr baseColWidth="10" defaultColWidth="9" defaultRowHeight="14"/>
  <cols>
    <col min="1" max="5" width="15.6640625" customWidth="1"/>
    <col min="7" max="11" width="15.6640625" customWidth="1"/>
    <col min="13" max="17" width="15.6640625" customWidth="1"/>
    <col min="20" max="20" width="13.83203125" customWidth="1"/>
    <col min="21" max="21" width="15.33203125" customWidth="1"/>
    <col min="22" max="22" width="18.83203125" customWidth="1"/>
    <col min="23" max="23" width="25.33203125" customWidth="1"/>
    <col min="26" max="27" width="12.5" customWidth="1"/>
    <col min="28" max="28" width="15" customWidth="1"/>
    <col min="29" max="29" width="19.33203125" customWidth="1"/>
  </cols>
  <sheetData>
    <row r="1" spans="1:29" ht="40" customHeight="1">
      <c r="A1" s="74" t="s">
        <v>105</v>
      </c>
      <c r="B1" s="74"/>
      <c r="C1" s="74"/>
      <c r="D1" s="74"/>
      <c r="E1" s="74"/>
      <c r="G1" s="75" t="s">
        <v>106</v>
      </c>
      <c r="H1" s="75"/>
      <c r="I1" s="75"/>
      <c r="J1" s="75"/>
      <c r="K1" s="75"/>
      <c r="M1" s="74" t="s">
        <v>107</v>
      </c>
      <c r="N1" s="74"/>
      <c r="O1" s="74"/>
      <c r="P1" s="74"/>
      <c r="Q1" s="74"/>
      <c r="S1" s="74" t="s">
        <v>108</v>
      </c>
      <c r="T1" s="74"/>
      <c r="U1" s="74"/>
      <c r="V1" s="74"/>
      <c r="W1" s="74"/>
      <c r="Y1" s="75" t="s">
        <v>109</v>
      </c>
      <c r="Z1" s="75"/>
      <c r="AA1" s="75"/>
      <c r="AB1" s="75"/>
      <c r="AC1" s="75"/>
    </row>
    <row r="2" spans="1:29" ht="20" customHeight="1">
      <c r="A2" s="6" t="s">
        <v>110</v>
      </c>
      <c r="B2" s="6" t="s">
        <v>111</v>
      </c>
      <c r="C2" s="6" t="s">
        <v>112</v>
      </c>
      <c r="D2" s="6" t="s">
        <v>113</v>
      </c>
      <c r="E2" s="6" t="s">
        <v>114</v>
      </c>
      <c r="G2" s="6" t="s">
        <v>110</v>
      </c>
      <c r="H2" s="6" t="s">
        <v>111</v>
      </c>
      <c r="I2" s="6" t="s">
        <v>112</v>
      </c>
      <c r="J2" s="6" t="s">
        <v>113</v>
      </c>
      <c r="K2" s="6" t="s">
        <v>114</v>
      </c>
      <c r="M2" s="6" t="s">
        <v>110</v>
      </c>
      <c r="N2" s="6" t="s">
        <v>111</v>
      </c>
      <c r="O2" s="6" t="s">
        <v>112</v>
      </c>
      <c r="P2" s="6" t="s">
        <v>113</v>
      </c>
      <c r="Q2" s="6" t="s">
        <v>114</v>
      </c>
      <c r="S2" s="6" t="s">
        <v>110</v>
      </c>
      <c r="T2" s="6" t="s">
        <v>111</v>
      </c>
      <c r="U2" s="6" t="s">
        <v>112</v>
      </c>
      <c r="V2" s="6" t="s">
        <v>113</v>
      </c>
      <c r="W2" s="6" t="s">
        <v>114</v>
      </c>
      <c r="Y2" s="6" t="s">
        <v>110</v>
      </c>
      <c r="Z2" s="6" t="s">
        <v>111</v>
      </c>
      <c r="AA2" s="6" t="s">
        <v>112</v>
      </c>
      <c r="AB2" s="6" t="s">
        <v>113</v>
      </c>
      <c r="AC2" s="6" t="s">
        <v>114</v>
      </c>
    </row>
    <row r="3" spans="1:29" ht="20" customHeight="1">
      <c r="A3" s="6">
        <v>1</v>
      </c>
      <c r="B3" s="6"/>
      <c r="C3" s="6">
        <v>20</v>
      </c>
      <c r="D3" s="6"/>
      <c r="E3" s="6">
        <f t="shared" ref="E3:E14" si="0">(D3-B3)*C3</f>
        <v>0</v>
      </c>
      <c r="G3" s="6">
        <v>1</v>
      </c>
      <c r="H3" s="6"/>
      <c r="I3" s="6">
        <v>40</v>
      </c>
      <c r="J3" s="6"/>
      <c r="K3" s="6">
        <f t="shared" ref="K3:K14" si="1">(J3-H3)*I3</f>
        <v>0</v>
      </c>
      <c r="M3" s="6">
        <v>1</v>
      </c>
      <c r="N3" s="6"/>
      <c r="O3" s="6">
        <v>10</v>
      </c>
      <c r="P3" s="6"/>
      <c r="Q3" s="6">
        <f t="shared" ref="Q3:Q14" si="2">(P3-N3)*O3</f>
        <v>0</v>
      </c>
      <c r="S3" s="6">
        <v>1</v>
      </c>
      <c r="T3" s="6"/>
      <c r="U3" s="6">
        <v>20</v>
      </c>
      <c r="V3" s="6"/>
      <c r="W3" s="6">
        <f t="shared" ref="W3:W14" si="3">(V3-T3)*U3</f>
        <v>0</v>
      </c>
      <c r="Y3" s="6">
        <v>1</v>
      </c>
      <c r="Z3" s="6"/>
      <c r="AA3" s="6">
        <v>1</v>
      </c>
      <c r="AB3" s="6"/>
      <c r="AC3" s="6">
        <f t="shared" ref="AC3:AC14" si="4">(AB3-Z3)*AA3</f>
        <v>0</v>
      </c>
    </row>
    <row r="4" spans="1:29" ht="20" customHeight="1">
      <c r="A4" s="6">
        <v>2</v>
      </c>
      <c r="B4" s="6">
        <v>1571.23</v>
      </c>
      <c r="C4" s="6">
        <v>20</v>
      </c>
      <c r="D4" s="6">
        <v>1595.56</v>
      </c>
      <c r="E4" s="6">
        <f t="shared" si="0"/>
        <v>486.59999999999854</v>
      </c>
      <c r="G4" s="6">
        <v>2</v>
      </c>
      <c r="H4" s="6"/>
      <c r="I4" s="6">
        <v>40</v>
      </c>
      <c r="J4" s="6"/>
      <c r="K4" s="6">
        <f t="shared" si="1"/>
        <v>0</v>
      </c>
      <c r="M4" s="6">
        <v>2</v>
      </c>
      <c r="N4" s="6"/>
      <c r="O4" s="6">
        <v>10</v>
      </c>
      <c r="P4" s="6"/>
      <c r="Q4" s="6">
        <f t="shared" si="2"/>
        <v>0</v>
      </c>
      <c r="S4" s="6">
        <v>2</v>
      </c>
      <c r="T4" s="6"/>
      <c r="U4" s="6">
        <v>20</v>
      </c>
      <c r="V4" s="6"/>
      <c r="W4" s="6">
        <f t="shared" si="3"/>
        <v>0</v>
      </c>
      <c r="Y4" s="6">
        <v>2</v>
      </c>
      <c r="Z4" s="6"/>
      <c r="AA4" s="6">
        <v>1</v>
      </c>
      <c r="AB4" s="6"/>
      <c r="AC4" s="6">
        <f t="shared" si="4"/>
        <v>0</v>
      </c>
    </row>
    <row r="5" spans="1:29" ht="20" customHeight="1">
      <c r="A5" s="6">
        <v>3</v>
      </c>
      <c r="B5" s="6">
        <v>1595.56</v>
      </c>
      <c r="C5" s="6">
        <v>20</v>
      </c>
      <c r="D5" s="6">
        <v>1627.45</v>
      </c>
      <c r="E5" s="6">
        <f t="shared" si="0"/>
        <v>637.800000000002</v>
      </c>
      <c r="G5" s="6">
        <v>3</v>
      </c>
      <c r="H5" s="6"/>
      <c r="I5" s="6">
        <v>40</v>
      </c>
      <c r="J5" s="6"/>
      <c r="K5" s="6">
        <f t="shared" si="1"/>
        <v>0</v>
      </c>
      <c r="M5" s="6">
        <v>3</v>
      </c>
      <c r="N5" s="6"/>
      <c r="O5" s="6">
        <v>10</v>
      </c>
      <c r="P5" s="6"/>
      <c r="Q5" s="6">
        <f t="shared" si="2"/>
        <v>0</v>
      </c>
      <c r="S5" s="6">
        <v>3</v>
      </c>
      <c r="T5" s="6">
        <v>452.83</v>
      </c>
      <c r="U5" s="6">
        <v>20</v>
      </c>
      <c r="V5" s="6">
        <v>458.52</v>
      </c>
      <c r="W5" s="6">
        <f t="shared" si="3"/>
        <v>113.79999999999995</v>
      </c>
      <c r="Y5" s="6">
        <v>3</v>
      </c>
      <c r="Z5" s="6"/>
      <c r="AA5" s="6">
        <v>1</v>
      </c>
      <c r="AB5" s="6"/>
      <c r="AC5" s="6">
        <f t="shared" si="4"/>
        <v>0</v>
      </c>
    </row>
    <row r="6" spans="1:29" ht="20" customHeight="1">
      <c r="A6" s="6">
        <v>4</v>
      </c>
      <c r="B6" s="6">
        <v>1627.45</v>
      </c>
      <c r="C6" s="6">
        <v>20</v>
      </c>
      <c r="D6" s="7">
        <v>1644.8</v>
      </c>
      <c r="E6" s="6">
        <f t="shared" si="0"/>
        <v>346.99999999999818</v>
      </c>
      <c r="G6" s="6">
        <v>4</v>
      </c>
      <c r="H6" s="6"/>
      <c r="I6" s="6">
        <v>40</v>
      </c>
      <c r="J6" s="8"/>
      <c r="K6" s="6">
        <f t="shared" si="1"/>
        <v>0</v>
      </c>
      <c r="M6" s="6">
        <v>4</v>
      </c>
      <c r="N6" s="6"/>
      <c r="O6" s="6">
        <v>10</v>
      </c>
      <c r="P6" s="9"/>
      <c r="Q6" s="6">
        <f t="shared" si="2"/>
        <v>0</v>
      </c>
      <c r="S6" s="6">
        <v>4</v>
      </c>
      <c r="T6" s="6">
        <v>458.52</v>
      </c>
      <c r="U6" s="6">
        <v>20</v>
      </c>
      <c r="V6" s="9">
        <v>469.42</v>
      </c>
      <c r="W6" s="6">
        <f t="shared" si="3"/>
        <v>218.00000000000068</v>
      </c>
      <c r="Y6" s="6">
        <v>4</v>
      </c>
      <c r="Z6" s="6"/>
      <c r="AA6" s="6">
        <v>1</v>
      </c>
      <c r="AB6" s="8"/>
      <c r="AC6" s="6">
        <f t="shared" si="4"/>
        <v>0</v>
      </c>
    </row>
    <row r="7" spans="1:29" ht="20" customHeight="1">
      <c r="A7" s="6">
        <v>5</v>
      </c>
      <c r="B7" s="7">
        <v>1644.8</v>
      </c>
      <c r="C7" s="6">
        <v>20</v>
      </c>
      <c r="D7" s="6">
        <v>1675.37</v>
      </c>
      <c r="E7" s="6">
        <f t="shared" si="0"/>
        <v>611.39999999999873</v>
      </c>
      <c r="G7" s="6">
        <v>5</v>
      </c>
      <c r="H7" s="6"/>
      <c r="I7" s="6">
        <v>40</v>
      </c>
      <c r="J7" s="6"/>
      <c r="K7" s="6">
        <f t="shared" si="1"/>
        <v>0</v>
      </c>
      <c r="M7" s="6">
        <v>5</v>
      </c>
      <c r="N7" s="9"/>
      <c r="O7" s="6">
        <v>10</v>
      </c>
      <c r="P7" s="6"/>
      <c r="Q7" s="6">
        <f t="shared" si="2"/>
        <v>0</v>
      </c>
      <c r="S7" s="6">
        <v>5</v>
      </c>
      <c r="T7" s="9">
        <v>469.42</v>
      </c>
      <c r="U7" s="6">
        <v>20</v>
      </c>
      <c r="V7" s="6">
        <v>493.1</v>
      </c>
      <c r="W7" s="6">
        <f t="shared" si="3"/>
        <v>473.60000000000014</v>
      </c>
      <c r="Y7" s="6">
        <v>5</v>
      </c>
      <c r="Z7" s="6"/>
      <c r="AA7" s="6">
        <v>1</v>
      </c>
      <c r="AB7" s="6"/>
      <c r="AC7" s="6">
        <f t="shared" si="4"/>
        <v>0</v>
      </c>
    </row>
    <row r="8" spans="1:29" ht="20" customHeight="1">
      <c r="A8" s="6">
        <v>6</v>
      </c>
      <c r="B8" s="6">
        <v>1675.37</v>
      </c>
      <c r="C8" s="6">
        <v>20</v>
      </c>
      <c r="D8" s="6">
        <v>1695.36</v>
      </c>
      <c r="E8" s="6">
        <f t="shared" si="0"/>
        <v>399.80000000000018</v>
      </c>
      <c r="G8" s="6">
        <v>6</v>
      </c>
      <c r="H8" s="8">
        <v>1162.22</v>
      </c>
      <c r="I8" s="6">
        <v>40</v>
      </c>
      <c r="J8" s="6">
        <v>1187.72</v>
      </c>
      <c r="K8" s="6">
        <f t="shared" si="1"/>
        <v>1020</v>
      </c>
      <c r="M8" s="6">
        <v>6</v>
      </c>
      <c r="N8" s="6">
        <v>327.27999999999997</v>
      </c>
      <c r="O8" s="6">
        <v>10</v>
      </c>
      <c r="P8" s="6">
        <v>331.76</v>
      </c>
      <c r="Q8" s="6">
        <f t="shared" si="2"/>
        <v>44.800000000000182</v>
      </c>
      <c r="S8" s="6">
        <v>6</v>
      </c>
      <c r="T8" s="6">
        <v>493.1</v>
      </c>
      <c r="U8" s="6">
        <v>20</v>
      </c>
      <c r="V8" s="6">
        <v>522.07000000000005</v>
      </c>
      <c r="W8" s="6">
        <f t="shared" si="3"/>
        <v>579.40000000000055</v>
      </c>
      <c r="Y8" s="6">
        <v>6</v>
      </c>
      <c r="Z8" s="8">
        <v>1130.55</v>
      </c>
      <c r="AA8" s="6">
        <v>1</v>
      </c>
      <c r="AB8" s="6">
        <v>1160.06</v>
      </c>
      <c r="AC8" s="6">
        <f t="shared" si="4"/>
        <v>29.509999999999991</v>
      </c>
    </row>
    <row r="9" spans="1:29" ht="20" customHeight="1">
      <c r="A9" s="6">
        <v>7</v>
      </c>
      <c r="B9" s="6">
        <v>1695.36</v>
      </c>
      <c r="C9" s="6">
        <v>20</v>
      </c>
      <c r="D9" s="6">
        <v>1724.63</v>
      </c>
      <c r="E9" s="6">
        <f t="shared" si="0"/>
        <v>585.40000000000418</v>
      </c>
      <c r="G9" s="6">
        <v>7</v>
      </c>
      <c r="H9" s="6">
        <v>1187.72</v>
      </c>
      <c r="I9" s="6">
        <v>40</v>
      </c>
      <c r="J9" s="6">
        <v>1222.4100000000001</v>
      </c>
      <c r="K9" s="6">
        <f t="shared" si="1"/>
        <v>1387.6000000000022</v>
      </c>
      <c r="M9" s="6">
        <v>7</v>
      </c>
      <c r="N9" s="6">
        <v>331.76</v>
      </c>
      <c r="O9" s="6">
        <v>10</v>
      </c>
      <c r="P9" s="6">
        <v>333.11</v>
      </c>
      <c r="Q9" s="6">
        <f t="shared" si="2"/>
        <v>13.500000000000227</v>
      </c>
      <c r="S9" s="6">
        <v>7</v>
      </c>
      <c r="T9" s="6">
        <v>522.07000000000005</v>
      </c>
      <c r="U9" s="6">
        <v>20</v>
      </c>
      <c r="V9" s="6">
        <v>561.39</v>
      </c>
      <c r="W9" s="6">
        <f t="shared" si="3"/>
        <v>786.39999999999873</v>
      </c>
      <c r="Y9" s="6">
        <v>7</v>
      </c>
      <c r="Z9" s="6">
        <v>1160.06</v>
      </c>
      <c r="AA9" s="6">
        <v>1</v>
      </c>
      <c r="AB9" s="6">
        <v>1200.1500000000001</v>
      </c>
      <c r="AC9" s="6">
        <f t="shared" si="4"/>
        <v>40.090000000000146</v>
      </c>
    </row>
    <row r="10" spans="1:29" ht="20" customHeight="1">
      <c r="A10" s="6">
        <v>8</v>
      </c>
      <c r="B10" s="6">
        <v>1724.63</v>
      </c>
      <c r="C10" s="6">
        <v>20</v>
      </c>
      <c r="D10" s="6">
        <v>1747.52</v>
      </c>
      <c r="E10" s="6">
        <f t="shared" si="0"/>
        <v>457.79999999999745</v>
      </c>
      <c r="G10" s="6">
        <v>8</v>
      </c>
      <c r="H10" s="6">
        <v>1222.4100000000001</v>
      </c>
      <c r="I10" s="6">
        <v>40</v>
      </c>
      <c r="J10" s="6">
        <v>1252.3900000000001</v>
      </c>
      <c r="K10" s="6">
        <f t="shared" si="1"/>
        <v>1199.2000000000007</v>
      </c>
      <c r="M10" s="6">
        <v>8</v>
      </c>
      <c r="N10" s="6">
        <v>333.11</v>
      </c>
      <c r="O10" s="6">
        <v>10</v>
      </c>
      <c r="P10" s="6">
        <v>334.84</v>
      </c>
      <c r="Q10" s="6">
        <f t="shared" si="2"/>
        <v>17.299999999999613</v>
      </c>
      <c r="S10" s="6">
        <v>8</v>
      </c>
      <c r="T10" s="6">
        <v>561.39</v>
      </c>
      <c r="U10" s="6">
        <v>20</v>
      </c>
      <c r="V10" s="6">
        <v>597.29999999999995</v>
      </c>
      <c r="W10" s="6">
        <f t="shared" si="3"/>
        <v>718.19999999999936</v>
      </c>
      <c r="Y10" s="6">
        <v>8</v>
      </c>
      <c r="Z10" s="6">
        <v>1200.1500000000001</v>
      </c>
      <c r="AA10" s="6">
        <v>1</v>
      </c>
      <c r="AB10" s="6">
        <v>1239.1400000000001</v>
      </c>
      <c r="AC10" s="6">
        <f t="shared" si="4"/>
        <v>38.990000000000009</v>
      </c>
    </row>
    <row r="11" spans="1:29" ht="20" customHeight="1">
      <c r="A11" s="6">
        <v>9</v>
      </c>
      <c r="B11" s="6"/>
      <c r="C11" s="6">
        <v>20</v>
      </c>
      <c r="D11" s="6"/>
      <c r="E11" s="6">
        <f t="shared" si="0"/>
        <v>0</v>
      </c>
      <c r="G11" s="6">
        <v>9</v>
      </c>
      <c r="H11" s="6"/>
      <c r="I11" s="6">
        <v>40</v>
      </c>
      <c r="J11" s="6"/>
      <c r="K11" s="6">
        <f t="shared" si="1"/>
        <v>0</v>
      </c>
      <c r="M11" s="6">
        <v>9</v>
      </c>
      <c r="N11" s="6"/>
      <c r="O11" s="6">
        <v>10</v>
      </c>
      <c r="P11" s="6"/>
      <c r="Q11" s="6">
        <f t="shared" si="2"/>
        <v>0</v>
      </c>
      <c r="S11" s="6">
        <v>9</v>
      </c>
      <c r="T11" s="6"/>
      <c r="U11" s="6">
        <v>20</v>
      </c>
      <c r="V11" s="6"/>
      <c r="W11" s="6">
        <f t="shared" si="3"/>
        <v>0</v>
      </c>
      <c r="Y11" s="6">
        <v>9</v>
      </c>
      <c r="Z11" s="6"/>
      <c r="AA11" s="6">
        <v>1</v>
      </c>
      <c r="AB11" s="6"/>
      <c r="AC11" s="6">
        <f t="shared" si="4"/>
        <v>0</v>
      </c>
    </row>
    <row r="12" spans="1:29" ht="20" customHeight="1">
      <c r="A12" s="6">
        <v>10</v>
      </c>
      <c r="B12" s="6"/>
      <c r="C12" s="6">
        <v>20</v>
      </c>
      <c r="D12" s="6"/>
      <c r="E12" s="6">
        <f t="shared" si="0"/>
        <v>0</v>
      </c>
      <c r="G12" s="6">
        <v>10</v>
      </c>
      <c r="H12" s="6"/>
      <c r="I12" s="6">
        <v>40</v>
      </c>
      <c r="J12" s="6"/>
      <c r="K12" s="6">
        <f t="shared" si="1"/>
        <v>0</v>
      </c>
      <c r="M12" s="6">
        <v>10</v>
      </c>
      <c r="N12" s="6"/>
      <c r="O12" s="6">
        <v>10</v>
      </c>
      <c r="P12" s="6"/>
      <c r="Q12" s="6">
        <f t="shared" si="2"/>
        <v>0</v>
      </c>
      <c r="S12" s="6">
        <v>10</v>
      </c>
      <c r="T12" s="6"/>
      <c r="U12" s="6">
        <v>20</v>
      </c>
      <c r="V12" s="6"/>
      <c r="W12" s="6">
        <f t="shared" si="3"/>
        <v>0</v>
      </c>
      <c r="Y12" s="6">
        <v>10</v>
      </c>
      <c r="Z12" s="6"/>
      <c r="AA12" s="6">
        <v>1</v>
      </c>
      <c r="AB12" s="6"/>
      <c r="AC12" s="6">
        <f t="shared" si="4"/>
        <v>0</v>
      </c>
    </row>
    <row r="13" spans="1:29" ht="20" customHeight="1">
      <c r="A13" s="6">
        <v>11</v>
      </c>
      <c r="B13" s="6"/>
      <c r="C13" s="6">
        <v>20</v>
      </c>
      <c r="D13" s="6"/>
      <c r="E13" s="6">
        <f t="shared" si="0"/>
        <v>0</v>
      </c>
      <c r="G13" s="6">
        <v>11</v>
      </c>
      <c r="H13" s="6"/>
      <c r="I13" s="6">
        <v>40</v>
      </c>
      <c r="J13" s="6"/>
      <c r="K13" s="6">
        <f t="shared" si="1"/>
        <v>0</v>
      </c>
      <c r="M13" s="6">
        <v>11</v>
      </c>
      <c r="N13" s="6"/>
      <c r="O13" s="6">
        <v>10</v>
      </c>
      <c r="P13" s="6"/>
      <c r="Q13" s="6">
        <f t="shared" si="2"/>
        <v>0</v>
      </c>
      <c r="S13" s="6">
        <v>11</v>
      </c>
      <c r="T13" s="6"/>
      <c r="U13" s="6">
        <v>20</v>
      </c>
      <c r="V13" s="6"/>
      <c r="W13" s="6">
        <f t="shared" si="3"/>
        <v>0</v>
      </c>
      <c r="Y13" s="6">
        <v>11</v>
      </c>
      <c r="Z13" s="6"/>
      <c r="AA13" s="6">
        <v>1</v>
      </c>
      <c r="AB13" s="6"/>
      <c r="AC13" s="6">
        <f t="shared" si="4"/>
        <v>0</v>
      </c>
    </row>
    <row r="14" spans="1:29" ht="20" customHeight="1">
      <c r="A14" s="6">
        <v>12</v>
      </c>
      <c r="B14" s="6"/>
      <c r="C14" s="6">
        <v>20</v>
      </c>
      <c r="D14" s="6"/>
      <c r="E14" s="6">
        <f t="shared" si="0"/>
        <v>0</v>
      </c>
      <c r="G14" s="6">
        <v>12</v>
      </c>
      <c r="H14" s="6"/>
      <c r="I14" s="6">
        <v>40</v>
      </c>
      <c r="J14" s="6"/>
      <c r="K14" s="6">
        <f t="shared" si="1"/>
        <v>0</v>
      </c>
      <c r="M14" s="6">
        <v>12</v>
      </c>
      <c r="N14" s="6"/>
      <c r="O14" s="6">
        <v>10</v>
      </c>
      <c r="P14" s="6"/>
      <c r="Q14" s="6">
        <f t="shared" si="2"/>
        <v>0</v>
      </c>
      <c r="S14" s="6">
        <v>12</v>
      </c>
      <c r="T14" s="6"/>
      <c r="U14" s="6">
        <v>20</v>
      </c>
      <c r="V14" s="6"/>
      <c r="W14" s="6">
        <f t="shared" si="3"/>
        <v>0</v>
      </c>
      <c r="Y14" s="6">
        <v>12</v>
      </c>
      <c r="Z14" s="6"/>
      <c r="AA14" s="6">
        <v>1</v>
      </c>
      <c r="AB14" s="6"/>
      <c r="AC14" s="6">
        <f t="shared" si="4"/>
        <v>0</v>
      </c>
    </row>
    <row r="18" spans="1:23" ht="40" customHeight="1">
      <c r="A18" s="73" t="s">
        <v>115</v>
      </c>
      <c r="B18" s="73"/>
      <c r="C18" s="73"/>
      <c r="D18" s="73"/>
      <c r="E18" s="73"/>
      <c r="F18" s="5"/>
      <c r="G18" s="73" t="s">
        <v>116</v>
      </c>
      <c r="H18" s="73"/>
      <c r="I18" s="73"/>
      <c r="J18" s="73"/>
      <c r="K18" s="73"/>
      <c r="M18" s="73" t="s">
        <v>117</v>
      </c>
      <c r="N18" s="73"/>
      <c r="O18" s="73"/>
      <c r="P18" s="73"/>
      <c r="Q18" s="73"/>
      <c r="R18" s="5"/>
      <c r="S18" s="73" t="s">
        <v>118</v>
      </c>
      <c r="T18" s="73"/>
      <c r="U18" s="73"/>
      <c r="V18" s="73"/>
      <c r="W18" s="73"/>
    </row>
    <row r="19" spans="1:23" ht="20" customHeight="1">
      <c r="A19" s="10" t="s">
        <v>110</v>
      </c>
      <c r="B19" s="10" t="s">
        <v>111</v>
      </c>
      <c r="C19" s="10" t="s">
        <v>112</v>
      </c>
      <c r="D19" s="10" t="s">
        <v>113</v>
      </c>
      <c r="E19" s="10" t="s">
        <v>114</v>
      </c>
      <c r="F19" s="5"/>
      <c r="G19" s="10" t="s">
        <v>110</v>
      </c>
      <c r="H19" s="10" t="s">
        <v>111</v>
      </c>
      <c r="I19" s="10" t="s">
        <v>112</v>
      </c>
      <c r="J19" s="10" t="s">
        <v>113</v>
      </c>
      <c r="K19" s="10" t="s">
        <v>114</v>
      </c>
      <c r="M19" s="10" t="s">
        <v>110</v>
      </c>
      <c r="N19" s="10" t="s">
        <v>111</v>
      </c>
      <c r="O19" s="10" t="s">
        <v>112</v>
      </c>
      <c r="P19" s="10" t="s">
        <v>113</v>
      </c>
      <c r="Q19" s="10" t="s">
        <v>114</v>
      </c>
      <c r="R19" s="5"/>
      <c r="S19" s="10" t="s">
        <v>110</v>
      </c>
      <c r="T19" s="10" t="s">
        <v>111</v>
      </c>
      <c r="U19" s="10" t="s">
        <v>112</v>
      </c>
      <c r="V19" s="10" t="s">
        <v>113</v>
      </c>
      <c r="W19" s="10" t="s">
        <v>114</v>
      </c>
    </row>
    <row r="20" spans="1:23" ht="20" customHeight="1">
      <c r="A20" s="10">
        <v>1</v>
      </c>
      <c r="B20" s="10"/>
      <c r="C20" s="10">
        <v>20</v>
      </c>
      <c r="D20" s="10"/>
      <c r="E20" s="10">
        <f t="shared" ref="E20:E31" si="5">(D20-B20)*C20</f>
        <v>0</v>
      </c>
      <c r="F20" s="5"/>
      <c r="G20" s="10">
        <v>1</v>
      </c>
      <c r="H20" s="10"/>
      <c r="I20" s="10">
        <v>40</v>
      </c>
      <c r="J20" s="10"/>
      <c r="K20" s="10">
        <f t="shared" ref="K20:K31" si="6">(J20-H20)*I20</f>
        <v>0</v>
      </c>
      <c r="M20" s="10">
        <v>1</v>
      </c>
      <c r="N20" s="10"/>
      <c r="O20" s="10">
        <v>20</v>
      </c>
      <c r="P20" s="10"/>
      <c r="Q20" s="10">
        <f t="shared" ref="Q20:Q31" si="7">(P20-N20)*O20</f>
        <v>0</v>
      </c>
      <c r="R20" s="5"/>
      <c r="S20" s="10">
        <v>1</v>
      </c>
      <c r="T20" s="10"/>
      <c r="U20" s="10">
        <v>1</v>
      </c>
      <c r="V20" s="10"/>
      <c r="W20" s="10">
        <f t="shared" ref="W20:W31" si="8">(V20-T20)*U20</f>
        <v>0</v>
      </c>
    </row>
    <row r="21" spans="1:23" ht="20" customHeight="1">
      <c r="A21" s="10">
        <v>2</v>
      </c>
      <c r="B21" s="10"/>
      <c r="C21" s="10">
        <v>20</v>
      </c>
      <c r="D21" s="10"/>
      <c r="E21" s="10">
        <f t="shared" si="5"/>
        <v>0</v>
      </c>
      <c r="F21" s="5"/>
      <c r="G21" s="10">
        <v>2</v>
      </c>
      <c r="H21" s="10"/>
      <c r="I21" s="10">
        <v>40</v>
      </c>
      <c r="J21" s="10"/>
      <c r="K21" s="10">
        <f t="shared" si="6"/>
        <v>0</v>
      </c>
      <c r="M21" s="10">
        <v>2</v>
      </c>
      <c r="N21" s="10"/>
      <c r="O21" s="10">
        <v>20</v>
      </c>
      <c r="P21" s="10"/>
      <c r="Q21" s="10">
        <f t="shared" si="7"/>
        <v>0</v>
      </c>
      <c r="R21" s="5"/>
      <c r="S21" s="10">
        <v>2</v>
      </c>
      <c r="T21" s="10"/>
      <c r="U21" s="10">
        <v>1</v>
      </c>
      <c r="V21" s="10"/>
      <c r="W21" s="10">
        <f t="shared" si="8"/>
        <v>0</v>
      </c>
    </row>
    <row r="22" spans="1:23" ht="20" customHeight="1">
      <c r="A22" s="10">
        <v>3</v>
      </c>
      <c r="B22" s="10">
        <v>127.28</v>
      </c>
      <c r="C22" s="10">
        <v>20</v>
      </c>
      <c r="D22" s="10">
        <v>130.69</v>
      </c>
      <c r="E22" s="10">
        <f t="shared" si="5"/>
        <v>68.199999999999932</v>
      </c>
      <c r="F22" s="5"/>
      <c r="G22" s="10">
        <v>3</v>
      </c>
      <c r="H22" s="10"/>
      <c r="I22" s="10">
        <v>40</v>
      </c>
      <c r="J22" s="10"/>
      <c r="K22" s="10">
        <f t="shared" si="6"/>
        <v>0</v>
      </c>
      <c r="M22" s="10">
        <v>3</v>
      </c>
      <c r="N22" s="10">
        <v>87.77</v>
      </c>
      <c r="O22" s="10">
        <v>20</v>
      </c>
      <c r="P22" s="11">
        <v>119.36</v>
      </c>
      <c r="Q22" s="10">
        <f t="shared" si="7"/>
        <v>631.80000000000007</v>
      </c>
      <c r="R22" s="5"/>
      <c r="S22" s="10">
        <v>3</v>
      </c>
      <c r="T22" s="10"/>
      <c r="U22" s="10">
        <v>1</v>
      </c>
      <c r="V22" s="10"/>
      <c r="W22" s="10">
        <f t="shared" si="8"/>
        <v>0</v>
      </c>
    </row>
    <row r="23" spans="1:23" ht="20" customHeight="1">
      <c r="A23" s="10">
        <v>4</v>
      </c>
      <c r="B23" s="10">
        <v>130.69</v>
      </c>
      <c r="C23" s="10">
        <v>20</v>
      </c>
      <c r="D23" s="11">
        <v>141.72999999999999</v>
      </c>
      <c r="E23" s="10">
        <f t="shared" si="5"/>
        <v>220.79999999999984</v>
      </c>
      <c r="F23" s="5"/>
      <c r="G23" s="10">
        <v>4</v>
      </c>
      <c r="H23" s="10"/>
      <c r="I23" s="10">
        <v>40</v>
      </c>
      <c r="J23" s="11"/>
      <c r="K23" s="10">
        <f t="shared" si="6"/>
        <v>0</v>
      </c>
      <c r="M23" s="10">
        <v>4</v>
      </c>
      <c r="N23" s="10">
        <v>90.86</v>
      </c>
      <c r="O23" s="10">
        <v>20</v>
      </c>
      <c r="P23" s="11">
        <v>119.36</v>
      </c>
      <c r="Q23" s="10">
        <f t="shared" si="7"/>
        <v>570</v>
      </c>
      <c r="R23" s="5"/>
      <c r="S23" s="10">
        <v>4</v>
      </c>
      <c r="T23" s="10"/>
      <c r="U23" s="10">
        <v>1</v>
      </c>
      <c r="V23" s="11"/>
      <c r="W23" s="10">
        <f t="shared" si="8"/>
        <v>0</v>
      </c>
    </row>
    <row r="24" spans="1:23" ht="20" customHeight="1">
      <c r="A24" s="10">
        <v>5</v>
      </c>
      <c r="B24" s="10">
        <v>130.69</v>
      </c>
      <c r="C24" s="10">
        <v>20</v>
      </c>
      <c r="D24" s="10"/>
      <c r="E24" s="10">
        <f t="shared" si="5"/>
        <v>-2613.8000000000002</v>
      </c>
      <c r="F24" s="5"/>
      <c r="G24" s="10">
        <v>5</v>
      </c>
      <c r="H24" s="10"/>
      <c r="I24" s="10">
        <v>40</v>
      </c>
      <c r="J24" s="10"/>
      <c r="K24" s="10">
        <f t="shared" si="6"/>
        <v>0</v>
      </c>
      <c r="M24" s="10">
        <v>5</v>
      </c>
      <c r="N24" s="11">
        <v>119.36</v>
      </c>
      <c r="O24" s="10">
        <v>20</v>
      </c>
      <c r="P24" s="10"/>
      <c r="Q24" s="10">
        <f t="shared" si="7"/>
        <v>-2387.1999999999998</v>
      </c>
      <c r="R24" s="5"/>
      <c r="S24" s="10">
        <v>5</v>
      </c>
      <c r="T24" s="10"/>
      <c r="U24" s="10">
        <v>1</v>
      </c>
      <c r="V24" s="10"/>
      <c r="W24" s="10">
        <f t="shared" si="8"/>
        <v>0</v>
      </c>
    </row>
    <row r="25" spans="1:23" ht="20" customHeight="1">
      <c r="A25" s="10">
        <v>6</v>
      </c>
      <c r="B25" s="11"/>
      <c r="C25" s="10">
        <v>20</v>
      </c>
      <c r="D25" s="10">
        <v>169.87</v>
      </c>
      <c r="E25" s="10">
        <f t="shared" si="5"/>
        <v>3397.4</v>
      </c>
      <c r="F25" s="5"/>
      <c r="G25" s="10">
        <v>6</v>
      </c>
      <c r="H25" s="11">
        <v>256.52</v>
      </c>
      <c r="I25" s="10">
        <v>40</v>
      </c>
      <c r="J25" s="10">
        <v>283.13</v>
      </c>
      <c r="K25" s="10">
        <f t="shared" si="6"/>
        <v>1064.4000000000005</v>
      </c>
      <c r="M25" s="10">
        <v>6</v>
      </c>
      <c r="N25" s="10"/>
      <c r="O25" s="10">
        <v>20</v>
      </c>
      <c r="P25" s="10">
        <v>234.18</v>
      </c>
      <c r="Q25" s="10">
        <f t="shared" si="7"/>
        <v>4683.6000000000004</v>
      </c>
      <c r="R25" s="5"/>
      <c r="S25" s="10">
        <v>6</v>
      </c>
      <c r="T25" s="11">
        <v>3424.74</v>
      </c>
      <c r="U25" s="10">
        <v>1</v>
      </c>
      <c r="V25" s="10">
        <v>3496.45</v>
      </c>
      <c r="W25" s="10">
        <f t="shared" si="8"/>
        <v>71.710000000000036</v>
      </c>
    </row>
    <row r="26" spans="1:23" ht="20" customHeight="1">
      <c r="A26" s="10">
        <v>7</v>
      </c>
      <c r="B26" s="10">
        <v>169.87</v>
      </c>
      <c r="C26" s="10">
        <v>20</v>
      </c>
      <c r="D26" s="10">
        <v>173.93</v>
      </c>
      <c r="E26" s="10">
        <f t="shared" si="5"/>
        <v>81.200000000000045</v>
      </c>
      <c r="F26" s="5"/>
      <c r="G26" s="10">
        <v>7</v>
      </c>
      <c r="H26" s="10">
        <v>283.13</v>
      </c>
      <c r="I26" s="10">
        <v>40</v>
      </c>
      <c r="J26" s="10">
        <v>303.19</v>
      </c>
      <c r="K26" s="10">
        <f t="shared" si="6"/>
        <v>802.40000000000009</v>
      </c>
      <c r="M26" s="10">
        <v>7</v>
      </c>
      <c r="N26" s="10">
        <v>234.18</v>
      </c>
      <c r="O26" s="10">
        <v>20</v>
      </c>
      <c r="P26" s="10">
        <v>269.79000000000002</v>
      </c>
      <c r="Q26" s="10">
        <f t="shared" si="7"/>
        <v>712.20000000000027</v>
      </c>
      <c r="R26" s="5"/>
      <c r="S26" s="10">
        <v>7</v>
      </c>
      <c r="T26" s="10">
        <v>3496.45</v>
      </c>
      <c r="U26" s="10">
        <v>1</v>
      </c>
      <c r="V26" s="10">
        <v>3563.48</v>
      </c>
      <c r="W26" s="10">
        <f t="shared" si="8"/>
        <v>67.0300000000002</v>
      </c>
    </row>
    <row r="27" spans="1:23" ht="20" customHeight="1">
      <c r="A27" s="10">
        <v>8</v>
      </c>
      <c r="B27" s="10">
        <v>173.93</v>
      </c>
      <c r="C27" s="10">
        <v>20</v>
      </c>
      <c r="D27" s="10">
        <v>177.44</v>
      </c>
      <c r="E27" s="10">
        <f t="shared" si="5"/>
        <v>70.199999999999818</v>
      </c>
      <c r="F27" s="5"/>
      <c r="G27" s="10">
        <v>8</v>
      </c>
      <c r="H27" s="10">
        <v>303.19</v>
      </c>
      <c r="I27" s="10">
        <v>40</v>
      </c>
      <c r="J27" s="10">
        <v>320.48</v>
      </c>
      <c r="K27" s="10">
        <f t="shared" si="6"/>
        <v>691.60000000000082</v>
      </c>
      <c r="M27" s="10">
        <v>8</v>
      </c>
      <c r="N27" s="10">
        <v>269.79000000000002</v>
      </c>
      <c r="O27" s="10">
        <v>20</v>
      </c>
      <c r="P27" s="10">
        <v>300.52</v>
      </c>
      <c r="Q27" s="10">
        <f t="shared" si="7"/>
        <v>614.59999999999923</v>
      </c>
      <c r="R27" s="5"/>
      <c r="S27" s="10">
        <v>8</v>
      </c>
      <c r="T27" s="10">
        <v>3563.48</v>
      </c>
      <c r="U27" s="10">
        <v>1</v>
      </c>
      <c r="V27" s="10">
        <v>3624.66</v>
      </c>
      <c r="W27" s="10">
        <f t="shared" si="8"/>
        <v>61.179999999999836</v>
      </c>
    </row>
    <row r="28" spans="1:23" ht="20" customHeight="1">
      <c r="A28" s="10">
        <v>9</v>
      </c>
      <c r="B28" s="10"/>
      <c r="C28" s="10">
        <v>20</v>
      </c>
      <c r="D28" s="10"/>
      <c r="E28" s="10">
        <f t="shared" si="5"/>
        <v>0</v>
      </c>
      <c r="F28" s="5"/>
      <c r="G28" s="10">
        <v>9</v>
      </c>
      <c r="H28" s="10"/>
      <c r="I28" s="10">
        <v>40</v>
      </c>
      <c r="J28" s="10"/>
      <c r="K28" s="10">
        <f t="shared" si="6"/>
        <v>0</v>
      </c>
      <c r="M28" s="10">
        <v>9</v>
      </c>
      <c r="N28" s="10"/>
      <c r="O28" s="10">
        <v>20</v>
      </c>
      <c r="P28" s="10"/>
      <c r="Q28" s="10">
        <f t="shared" si="7"/>
        <v>0</v>
      </c>
      <c r="R28" s="5"/>
      <c r="S28" s="10">
        <v>9</v>
      </c>
      <c r="T28" s="10"/>
      <c r="U28" s="10">
        <v>1</v>
      </c>
      <c r="V28" s="10"/>
      <c r="W28" s="10">
        <f t="shared" si="8"/>
        <v>0</v>
      </c>
    </row>
    <row r="29" spans="1:23" ht="20" customHeight="1">
      <c r="A29" s="10">
        <v>10</v>
      </c>
      <c r="B29" s="10"/>
      <c r="C29" s="10">
        <v>20</v>
      </c>
      <c r="D29" s="10"/>
      <c r="E29" s="10">
        <f t="shared" si="5"/>
        <v>0</v>
      </c>
      <c r="F29" s="5"/>
      <c r="G29" s="10">
        <v>10</v>
      </c>
      <c r="H29" s="10"/>
      <c r="I29" s="10">
        <v>40</v>
      </c>
      <c r="J29" s="10"/>
      <c r="K29" s="10">
        <f t="shared" si="6"/>
        <v>0</v>
      </c>
      <c r="M29" s="10">
        <v>10</v>
      </c>
      <c r="N29" s="10"/>
      <c r="O29" s="10">
        <v>20</v>
      </c>
      <c r="P29" s="10"/>
      <c r="Q29" s="10">
        <f t="shared" si="7"/>
        <v>0</v>
      </c>
      <c r="R29" s="5"/>
      <c r="S29" s="10">
        <v>10</v>
      </c>
      <c r="T29" s="10"/>
      <c r="U29" s="10">
        <v>1</v>
      </c>
      <c r="V29" s="10"/>
      <c r="W29" s="10">
        <f t="shared" si="8"/>
        <v>0</v>
      </c>
    </row>
    <row r="30" spans="1:23" ht="20" customHeight="1">
      <c r="A30" s="10">
        <v>11</v>
      </c>
      <c r="B30" s="10"/>
      <c r="C30" s="10">
        <v>20</v>
      </c>
      <c r="D30" s="10"/>
      <c r="E30" s="10">
        <f t="shared" si="5"/>
        <v>0</v>
      </c>
      <c r="F30" s="5"/>
      <c r="G30" s="10">
        <v>11</v>
      </c>
      <c r="H30" s="10"/>
      <c r="I30" s="10">
        <v>40</v>
      </c>
      <c r="J30" s="10"/>
      <c r="K30" s="10">
        <f t="shared" si="6"/>
        <v>0</v>
      </c>
      <c r="M30" s="10">
        <v>11</v>
      </c>
      <c r="N30" s="10"/>
      <c r="O30" s="10">
        <v>20</v>
      </c>
      <c r="P30" s="10"/>
      <c r="Q30" s="10">
        <f t="shared" si="7"/>
        <v>0</v>
      </c>
      <c r="R30" s="5"/>
      <c r="S30" s="10">
        <v>11</v>
      </c>
      <c r="T30" s="10"/>
      <c r="U30" s="10">
        <v>1</v>
      </c>
      <c r="V30" s="10"/>
      <c r="W30" s="10">
        <f t="shared" si="8"/>
        <v>0</v>
      </c>
    </row>
    <row r="31" spans="1:23" ht="20" customHeight="1">
      <c r="A31" s="10">
        <v>12</v>
      </c>
      <c r="B31" s="10"/>
      <c r="C31" s="10">
        <v>20</v>
      </c>
      <c r="D31" s="10"/>
      <c r="E31" s="10">
        <f t="shared" si="5"/>
        <v>0</v>
      </c>
      <c r="F31" s="5"/>
      <c r="G31" s="10">
        <v>12</v>
      </c>
      <c r="H31" s="10"/>
      <c r="I31" s="10">
        <v>40</v>
      </c>
      <c r="J31" s="10"/>
      <c r="K31" s="10">
        <f t="shared" si="6"/>
        <v>0</v>
      </c>
      <c r="M31" s="10">
        <v>12</v>
      </c>
      <c r="N31" s="10"/>
      <c r="O31" s="10">
        <v>20</v>
      </c>
      <c r="P31" s="10"/>
      <c r="Q31" s="10">
        <f t="shared" si="7"/>
        <v>0</v>
      </c>
      <c r="R31" s="5"/>
      <c r="S31" s="10">
        <v>12</v>
      </c>
      <c r="T31" s="10"/>
      <c r="U31" s="10">
        <v>1</v>
      </c>
      <c r="V31" s="10"/>
      <c r="W31" s="10">
        <f t="shared" si="8"/>
        <v>0</v>
      </c>
    </row>
    <row r="35" spans="1:29" ht="40" customHeight="1">
      <c r="A35" s="70" t="s">
        <v>119</v>
      </c>
      <c r="B35" s="70"/>
      <c r="C35" s="70"/>
      <c r="D35" s="70"/>
      <c r="E35" s="70"/>
      <c r="F35" s="5"/>
      <c r="G35" s="70" t="s">
        <v>120</v>
      </c>
      <c r="H35" s="70"/>
      <c r="I35" s="70"/>
      <c r="J35" s="70"/>
      <c r="K35" s="70"/>
      <c r="M35" s="70" t="s">
        <v>121</v>
      </c>
      <c r="N35" s="70"/>
      <c r="O35" s="70"/>
      <c r="P35" s="70"/>
      <c r="Q35" s="70"/>
      <c r="S35" s="70" t="s">
        <v>122</v>
      </c>
      <c r="T35" s="70"/>
      <c r="U35" s="70"/>
      <c r="V35" s="70"/>
      <c r="W35" s="70"/>
      <c r="Y35" s="70" t="s">
        <v>123</v>
      </c>
      <c r="Z35" s="70"/>
      <c r="AA35" s="70"/>
      <c r="AB35" s="70"/>
      <c r="AC35" s="70"/>
    </row>
    <row r="36" spans="1:29" ht="20" customHeight="1">
      <c r="A36" s="12" t="s">
        <v>110</v>
      </c>
      <c r="B36" s="12" t="s">
        <v>111</v>
      </c>
      <c r="C36" s="12" t="s">
        <v>112</v>
      </c>
      <c r="D36" s="12" t="s">
        <v>113</v>
      </c>
      <c r="E36" s="12" t="s">
        <v>114</v>
      </c>
      <c r="F36" s="5"/>
      <c r="G36" s="12" t="s">
        <v>110</v>
      </c>
      <c r="H36" s="12" t="s">
        <v>111</v>
      </c>
      <c r="I36" s="12" t="s">
        <v>112</v>
      </c>
      <c r="J36" s="12" t="s">
        <v>113</v>
      </c>
      <c r="K36" s="12" t="s">
        <v>114</v>
      </c>
      <c r="M36" s="12" t="s">
        <v>110</v>
      </c>
      <c r="N36" s="12" t="s">
        <v>111</v>
      </c>
      <c r="O36" s="12" t="s">
        <v>112</v>
      </c>
      <c r="P36" s="12" t="s">
        <v>113</v>
      </c>
      <c r="Q36" s="12" t="s">
        <v>114</v>
      </c>
      <c r="S36" s="12" t="s">
        <v>110</v>
      </c>
      <c r="T36" s="12" t="s">
        <v>111</v>
      </c>
      <c r="U36" s="12" t="s">
        <v>112</v>
      </c>
      <c r="V36" s="12" t="s">
        <v>113</v>
      </c>
      <c r="W36" s="12" t="s">
        <v>114</v>
      </c>
      <c r="Y36" s="12" t="s">
        <v>110</v>
      </c>
      <c r="Z36" s="12" t="s">
        <v>111</v>
      </c>
      <c r="AA36" s="12" t="s">
        <v>112</v>
      </c>
      <c r="AB36" s="12" t="s">
        <v>113</v>
      </c>
      <c r="AC36" s="12" t="s">
        <v>114</v>
      </c>
    </row>
    <row r="37" spans="1:29" ht="20" customHeight="1">
      <c r="A37" s="12">
        <v>1</v>
      </c>
      <c r="B37" s="12"/>
      <c r="C37" s="12">
        <v>20</v>
      </c>
      <c r="D37" s="12"/>
      <c r="E37" s="12">
        <f t="shared" ref="E37:E48" si="9">(D37-B37)*C37</f>
        <v>0</v>
      </c>
      <c r="F37" s="5"/>
      <c r="G37" s="12">
        <v>1</v>
      </c>
      <c r="H37" s="12"/>
      <c r="I37" s="12">
        <v>20</v>
      </c>
      <c r="J37" s="12"/>
      <c r="K37" s="12">
        <f t="shared" ref="K37:K48" si="10">(J37-H37)*I37</f>
        <v>0</v>
      </c>
      <c r="M37" s="12">
        <v>1</v>
      </c>
      <c r="N37" s="12"/>
      <c r="O37" s="12">
        <v>20</v>
      </c>
      <c r="P37" s="12"/>
      <c r="Q37" s="12">
        <f t="shared" ref="Q37:Q48" si="11">(P37-N37)*O37</f>
        <v>0</v>
      </c>
      <c r="S37" s="12">
        <v>1</v>
      </c>
      <c r="T37" s="12"/>
      <c r="U37" s="12">
        <v>50</v>
      </c>
      <c r="V37" s="12"/>
      <c r="W37" s="12">
        <f t="shared" ref="W37:W48" si="12">(V37-T37)*U37</f>
        <v>0</v>
      </c>
      <c r="Y37" s="12">
        <v>1</v>
      </c>
      <c r="Z37" s="12"/>
      <c r="AA37" s="12">
        <v>1</v>
      </c>
      <c r="AB37" s="12"/>
      <c r="AC37" s="12">
        <f t="shared" ref="AC37:AC48" si="13">(AB37-Z37)*AA37</f>
        <v>0</v>
      </c>
    </row>
    <row r="38" spans="1:29" ht="20" customHeight="1">
      <c r="A38" s="12">
        <v>2</v>
      </c>
      <c r="B38" s="12"/>
      <c r="C38" s="12">
        <v>20</v>
      </c>
      <c r="D38" s="12"/>
      <c r="E38" s="12">
        <f t="shared" si="9"/>
        <v>0</v>
      </c>
      <c r="F38" s="5"/>
      <c r="G38" s="12">
        <v>2</v>
      </c>
      <c r="H38" s="12"/>
      <c r="I38" s="12">
        <v>20</v>
      </c>
      <c r="J38" s="12"/>
      <c r="K38" s="12">
        <f t="shared" si="10"/>
        <v>0</v>
      </c>
      <c r="M38" s="12">
        <v>2</v>
      </c>
      <c r="N38" s="12"/>
      <c r="O38" s="12">
        <v>20</v>
      </c>
      <c r="P38" s="12"/>
      <c r="Q38" s="12">
        <f t="shared" si="11"/>
        <v>0</v>
      </c>
      <c r="S38" s="12">
        <v>2</v>
      </c>
      <c r="T38" s="12"/>
      <c r="U38" s="12">
        <v>50</v>
      </c>
      <c r="V38" s="12"/>
      <c r="W38" s="12">
        <f t="shared" si="12"/>
        <v>0</v>
      </c>
      <c r="Y38" s="12">
        <v>2</v>
      </c>
      <c r="Z38" s="12"/>
      <c r="AA38" s="12">
        <v>1</v>
      </c>
      <c r="AB38" s="12"/>
      <c r="AC38" s="12">
        <f t="shared" si="13"/>
        <v>0</v>
      </c>
    </row>
    <row r="39" spans="1:29" ht="20" customHeight="1">
      <c r="A39" s="12">
        <v>3</v>
      </c>
      <c r="B39" s="12"/>
      <c r="C39" s="12">
        <v>20</v>
      </c>
      <c r="D39" s="12"/>
      <c r="E39" s="12">
        <f t="shared" si="9"/>
        <v>0</v>
      </c>
      <c r="F39" s="5"/>
      <c r="G39" s="12">
        <v>3</v>
      </c>
      <c r="H39" s="12"/>
      <c r="I39" s="12">
        <v>20</v>
      </c>
      <c r="J39" s="12"/>
      <c r="K39" s="12">
        <f t="shared" si="10"/>
        <v>0</v>
      </c>
      <c r="M39" s="12">
        <v>3</v>
      </c>
      <c r="N39" s="12"/>
      <c r="O39" s="12">
        <v>20</v>
      </c>
      <c r="P39" s="12"/>
      <c r="Q39" s="12">
        <f t="shared" si="11"/>
        <v>0</v>
      </c>
      <c r="S39" s="12">
        <v>3</v>
      </c>
      <c r="T39" s="12"/>
      <c r="U39" s="12">
        <v>50</v>
      </c>
      <c r="V39" s="12"/>
      <c r="W39" s="12">
        <f t="shared" si="12"/>
        <v>0</v>
      </c>
      <c r="Y39" s="12">
        <v>3</v>
      </c>
      <c r="Z39" s="12"/>
      <c r="AA39" s="12">
        <v>1</v>
      </c>
      <c r="AB39" s="12"/>
      <c r="AC39" s="12">
        <f t="shared" si="13"/>
        <v>0</v>
      </c>
    </row>
    <row r="40" spans="1:29" ht="20" customHeight="1">
      <c r="A40" s="12">
        <v>4</v>
      </c>
      <c r="B40" s="12"/>
      <c r="C40" s="12">
        <v>20</v>
      </c>
      <c r="D40" s="13"/>
      <c r="E40" s="12">
        <f t="shared" si="9"/>
        <v>0</v>
      </c>
      <c r="F40" s="5"/>
      <c r="G40" s="12">
        <v>4</v>
      </c>
      <c r="H40" s="12"/>
      <c r="I40" s="12">
        <v>20</v>
      </c>
      <c r="J40" s="13"/>
      <c r="K40" s="12">
        <f t="shared" si="10"/>
        <v>0</v>
      </c>
      <c r="M40" s="12">
        <v>4</v>
      </c>
      <c r="N40" s="12"/>
      <c r="O40" s="12">
        <v>20</v>
      </c>
      <c r="P40" s="13"/>
      <c r="Q40" s="12">
        <f t="shared" si="11"/>
        <v>0</v>
      </c>
      <c r="S40" s="12">
        <v>4</v>
      </c>
      <c r="T40" s="12"/>
      <c r="U40" s="12">
        <v>50</v>
      </c>
      <c r="V40" s="13"/>
      <c r="W40" s="12">
        <f t="shared" si="12"/>
        <v>0</v>
      </c>
      <c r="Y40" s="12">
        <v>4</v>
      </c>
      <c r="Z40" s="12"/>
      <c r="AA40" s="12">
        <v>1</v>
      </c>
      <c r="AB40" s="13"/>
      <c r="AC40" s="12">
        <f t="shared" si="13"/>
        <v>0</v>
      </c>
    </row>
    <row r="41" spans="1:29" ht="20" customHeight="1">
      <c r="A41" s="12">
        <v>5</v>
      </c>
      <c r="B41" s="14">
        <v>533.6</v>
      </c>
      <c r="C41" s="12">
        <v>20</v>
      </c>
      <c r="D41" s="12">
        <v>569.28</v>
      </c>
      <c r="E41" s="12">
        <f t="shared" si="9"/>
        <v>713.599999999999</v>
      </c>
      <c r="F41" s="5"/>
      <c r="G41" s="12">
        <v>5</v>
      </c>
      <c r="H41" s="14">
        <v>48.11</v>
      </c>
      <c r="I41" s="12">
        <v>20</v>
      </c>
      <c r="J41" s="12">
        <v>48.97</v>
      </c>
      <c r="K41" s="12">
        <f t="shared" si="10"/>
        <v>17.199999999999989</v>
      </c>
      <c r="M41" s="12">
        <v>5</v>
      </c>
      <c r="N41" s="14">
        <v>1998.43</v>
      </c>
      <c r="O41" s="12">
        <v>20</v>
      </c>
      <c r="P41" s="12">
        <v>2040.42</v>
      </c>
      <c r="Q41" s="12">
        <f t="shared" si="11"/>
        <v>839.80000000000018</v>
      </c>
      <c r="S41" s="12">
        <v>5</v>
      </c>
      <c r="T41" s="14">
        <v>1014.16</v>
      </c>
      <c r="U41" s="12">
        <v>50</v>
      </c>
      <c r="V41" s="12">
        <v>1045.24</v>
      </c>
      <c r="W41" s="12">
        <f t="shared" si="12"/>
        <v>1554.000000000002</v>
      </c>
      <c r="Y41" s="12">
        <v>5</v>
      </c>
      <c r="Z41" s="14">
        <v>1370.5</v>
      </c>
      <c r="AA41" s="12">
        <v>1</v>
      </c>
      <c r="AB41" s="12">
        <v>1404.98</v>
      </c>
      <c r="AC41" s="12">
        <f t="shared" si="13"/>
        <v>34.480000000000018</v>
      </c>
    </row>
    <row r="42" spans="1:29" ht="20" customHeight="1">
      <c r="A42" s="12">
        <v>6</v>
      </c>
      <c r="B42" s="12">
        <v>569.28</v>
      </c>
      <c r="C42" s="12">
        <v>20</v>
      </c>
      <c r="D42" s="12">
        <v>581.98</v>
      </c>
      <c r="E42" s="12">
        <f t="shared" si="9"/>
        <v>254.00000000000091</v>
      </c>
      <c r="F42" s="5"/>
      <c r="G42" s="12">
        <v>6</v>
      </c>
      <c r="H42" s="12">
        <v>48.97</v>
      </c>
      <c r="I42" s="12">
        <v>20</v>
      </c>
      <c r="J42" s="12">
        <v>49.6</v>
      </c>
      <c r="K42" s="12">
        <f t="shared" si="10"/>
        <v>12.600000000000051</v>
      </c>
      <c r="M42" s="12">
        <v>6</v>
      </c>
      <c r="N42" s="12">
        <v>2040.42</v>
      </c>
      <c r="O42" s="12">
        <v>20</v>
      </c>
      <c r="P42" s="12">
        <v>2065.1</v>
      </c>
      <c r="Q42" s="12">
        <f t="shared" si="11"/>
        <v>493.59999999999673</v>
      </c>
      <c r="S42" s="12">
        <v>6</v>
      </c>
      <c r="T42" s="12">
        <v>1045.24</v>
      </c>
      <c r="U42" s="12">
        <v>50</v>
      </c>
      <c r="V42" s="12">
        <v>1060.25</v>
      </c>
      <c r="W42" s="12">
        <f t="shared" si="12"/>
        <v>750.49999999999955</v>
      </c>
      <c r="Y42" s="12">
        <v>6</v>
      </c>
      <c r="Z42" s="12">
        <v>1404.98</v>
      </c>
      <c r="AA42" s="12">
        <v>1</v>
      </c>
      <c r="AB42" s="12">
        <v>1426.8</v>
      </c>
      <c r="AC42" s="12">
        <f t="shared" si="13"/>
        <v>21.819999999999936</v>
      </c>
    </row>
    <row r="43" spans="1:29" ht="20" customHeight="1">
      <c r="A43" s="12">
        <v>7</v>
      </c>
      <c r="B43" s="12">
        <v>581.98</v>
      </c>
      <c r="C43" s="12">
        <v>20</v>
      </c>
      <c r="D43" s="12">
        <v>598.65</v>
      </c>
      <c r="E43" s="12">
        <f t="shared" si="9"/>
        <v>333.39999999999918</v>
      </c>
      <c r="F43" s="5"/>
      <c r="G43" s="12">
        <v>7</v>
      </c>
      <c r="H43" s="12">
        <v>49.6</v>
      </c>
      <c r="I43" s="12">
        <v>20</v>
      </c>
      <c r="J43" s="12">
        <v>50.4</v>
      </c>
      <c r="K43" s="12">
        <f t="shared" si="10"/>
        <v>15.999999999999943</v>
      </c>
      <c r="M43" s="12">
        <v>7</v>
      </c>
      <c r="N43" s="12">
        <v>2065.1</v>
      </c>
      <c r="O43" s="12">
        <v>20</v>
      </c>
      <c r="P43" s="12">
        <v>2102.46</v>
      </c>
      <c r="Q43" s="12">
        <f t="shared" si="11"/>
        <v>747.20000000000255</v>
      </c>
      <c r="S43" s="12">
        <v>7</v>
      </c>
      <c r="T43" s="12">
        <v>1060.25</v>
      </c>
      <c r="U43" s="12">
        <v>50</v>
      </c>
      <c r="V43" s="12">
        <v>1081.8900000000001</v>
      </c>
      <c r="W43" s="12">
        <f t="shared" si="12"/>
        <v>1082.000000000005</v>
      </c>
      <c r="Y43" s="12">
        <v>7</v>
      </c>
      <c r="Z43" s="12">
        <v>1426.8</v>
      </c>
      <c r="AA43" s="12">
        <v>1</v>
      </c>
      <c r="AB43" s="12">
        <v>1453.98</v>
      </c>
      <c r="AC43" s="12">
        <f t="shared" si="13"/>
        <v>27.180000000000064</v>
      </c>
    </row>
    <row r="44" spans="1:29" ht="20" customHeight="1">
      <c r="A44" s="12">
        <v>8</v>
      </c>
      <c r="B44" s="12">
        <v>598.65</v>
      </c>
      <c r="C44" s="12">
        <v>20</v>
      </c>
      <c r="D44" s="12">
        <v>608.91</v>
      </c>
      <c r="E44" s="12">
        <f t="shared" si="9"/>
        <v>205.19999999999982</v>
      </c>
      <c r="F44" s="5"/>
      <c r="G44" s="12">
        <v>8</v>
      </c>
      <c r="H44" s="12">
        <v>50.4</v>
      </c>
      <c r="I44" s="12">
        <v>20</v>
      </c>
      <c r="J44" s="12">
        <v>51.21</v>
      </c>
      <c r="K44" s="12">
        <f t="shared" si="10"/>
        <v>16.200000000000045</v>
      </c>
      <c r="M44" s="12">
        <v>8</v>
      </c>
      <c r="N44" s="12">
        <v>2102.46</v>
      </c>
      <c r="O44" s="12">
        <v>20</v>
      </c>
      <c r="P44" s="12">
        <v>2131.2399999999998</v>
      </c>
      <c r="Q44" s="12">
        <f t="shared" si="11"/>
        <v>575.59999999999491</v>
      </c>
      <c r="S44" s="12">
        <v>8</v>
      </c>
      <c r="T44" s="12">
        <v>1081.8900000000001</v>
      </c>
      <c r="U44" s="12">
        <v>50</v>
      </c>
      <c r="V44" s="12">
        <v>1097.68</v>
      </c>
      <c r="W44" s="12">
        <f t="shared" si="12"/>
        <v>789.49999999999818</v>
      </c>
      <c r="Y44" s="12">
        <v>8</v>
      </c>
      <c r="Z44" s="12">
        <v>1453.98</v>
      </c>
      <c r="AA44" s="12">
        <v>1</v>
      </c>
      <c r="AB44" s="12">
        <v>1473.05</v>
      </c>
      <c r="AC44" s="12">
        <f t="shared" si="13"/>
        <v>19.069999999999936</v>
      </c>
    </row>
    <row r="45" spans="1:29" ht="20" customHeight="1">
      <c r="A45" s="12">
        <v>9</v>
      </c>
      <c r="B45" s="12"/>
      <c r="C45" s="12">
        <v>20</v>
      </c>
      <c r="D45" s="12"/>
      <c r="E45" s="12">
        <f t="shared" si="9"/>
        <v>0</v>
      </c>
      <c r="F45" s="5"/>
      <c r="G45" s="12">
        <v>9</v>
      </c>
      <c r="H45" s="12"/>
      <c r="I45" s="12">
        <v>20</v>
      </c>
      <c r="J45" s="12"/>
      <c r="K45" s="12">
        <f t="shared" si="10"/>
        <v>0</v>
      </c>
      <c r="M45" s="12">
        <v>9</v>
      </c>
      <c r="N45" s="12"/>
      <c r="O45" s="12">
        <v>20</v>
      </c>
      <c r="P45" s="12"/>
      <c r="Q45" s="12">
        <f t="shared" si="11"/>
        <v>0</v>
      </c>
      <c r="S45" s="12">
        <v>9</v>
      </c>
      <c r="T45" s="12"/>
      <c r="U45" s="12">
        <v>50</v>
      </c>
      <c r="V45" s="12"/>
      <c r="W45" s="12">
        <f t="shared" si="12"/>
        <v>0</v>
      </c>
      <c r="Y45" s="12">
        <v>9</v>
      </c>
      <c r="Z45" s="12"/>
      <c r="AA45" s="12">
        <v>1</v>
      </c>
      <c r="AB45" s="12"/>
      <c r="AC45" s="12">
        <f t="shared" si="13"/>
        <v>0</v>
      </c>
    </row>
    <row r="46" spans="1:29" ht="20" customHeight="1">
      <c r="A46" s="12">
        <v>10</v>
      </c>
      <c r="B46" s="12"/>
      <c r="C46" s="12">
        <v>20</v>
      </c>
      <c r="D46" s="12"/>
      <c r="E46" s="12">
        <f t="shared" si="9"/>
        <v>0</v>
      </c>
      <c r="F46" s="5"/>
      <c r="G46" s="12">
        <v>10</v>
      </c>
      <c r="H46" s="12"/>
      <c r="I46" s="12">
        <v>20</v>
      </c>
      <c r="J46" s="12"/>
      <c r="K46" s="12">
        <f t="shared" si="10"/>
        <v>0</v>
      </c>
      <c r="M46" s="12">
        <v>10</v>
      </c>
      <c r="N46" s="12"/>
      <c r="O46" s="12">
        <v>20</v>
      </c>
      <c r="P46" s="12"/>
      <c r="Q46" s="12">
        <f t="shared" si="11"/>
        <v>0</v>
      </c>
      <c r="S46" s="12">
        <v>10</v>
      </c>
      <c r="T46" s="12"/>
      <c r="U46" s="12">
        <v>50</v>
      </c>
      <c r="V46" s="12"/>
      <c r="W46" s="12">
        <f t="shared" si="12"/>
        <v>0</v>
      </c>
      <c r="Y46" s="12">
        <v>10</v>
      </c>
      <c r="Z46" s="12"/>
      <c r="AA46" s="12">
        <v>1</v>
      </c>
      <c r="AB46" s="12"/>
      <c r="AC46" s="12">
        <f t="shared" si="13"/>
        <v>0</v>
      </c>
    </row>
    <row r="47" spans="1:29" ht="20" customHeight="1">
      <c r="A47" s="12">
        <v>11</v>
      </c>
      <c r="B47" s="12"/>
      <c r="C47" s="12">
        <v>20</v>
      </c>
      <c r="D47" s="12"/>
      <c r="E47" s="12">
        <f t="shared" si="9"/>
        <v>0</v>
      </c>
      <c r="F47" s="5"/>
      <c r="G47" s="12">
        <v>11</v>
      </c>
      <c r="H47" s="12"/>
      <c r="I47" s="12">
        <v>20</v>
      </c>
      <c r="J47" s="12"/>
      <c r="K47" s="12">
        <f t="shared" si="10"/>
        <v>0</v>
      </c>
      <c r="M47" s="12">
        <v>11</v>
      </c>
      <c r="N47" s="12"/>
      <c r="O47" s="12">
        <v>20</v>
      </c>
      <c r="P47" s="12"/>
      <c r="Q47" s="12">
        <f t="shared" si="11"/>
        <v>0</v>
      </c>
      <c r="S47" s="12">
        <v>11</v>
      </c>
      <c r="T47" s="12"/>
      <c r="U47" s="12">
        <v>50</v>
      </c>
      <c r="V47" s="12"/>
      <c r="W47" s="12">
        <f t="shared" si="12"/>
        <v>0</v>
      </c>
      <c r="Y47" s="12">
        <v>11</v>
      </c>
      <c r="Z47" s="12"/>
      <c r="AA47" s="12">
        <v>1</v>
      </c>
      <c r="AB47" s="12"/>
      <c r="AC47" s="12">
        <f t="shared" si="13"/>
        <v>0</v>
      </c>
    </row>
    <row r="48" spans="1:29" ht="20" customHeight="1">
      <c r="A48" s="12">
        <v>12</v>
      </c>
      <c r="B48" s="12"/>
      <c r="C48" s="12">
        <v>20</v>
      </c>
      <c r="D48" s="12"/>
      <c r="E48" s="12">
        <f t="shared" si="9"/>
        <v>0</v>
      </c>
      <c r="F48" s="5"/>
      <c r="G48" s="12">
        <v>12</v>
      </c>
      <c r="H48" s="12"/>
      <c r="I48" s="12">
        <v>20</v>
      </c>
      <c r="J48" s="12"/>
      <c r="K48" s="12">
        <f t="shared" si="10"/>
        <v>0</v>
      </c>
      <c r="M48" s="12">
        <v>12</v>
      </c>
      <c r="N48" s="12"/>
      <c r="O48" s="12">
        <v>20</v>
      </c>
      <c r="P48" s="12"/>
      <c r="Q48" s="12">
        <f t="shared" si="11"/>
        <v>0</v>
      </c>
      <c r="S48" s="12">
        <v>12</v>
      </c>
      <c r="T48" s="12"/>
      <c r="U48" s="12">
        <v>50</v>
      </c>
      <c r="V48" s="12"/>
      <c r="W48" s="12">
        <f t="shared" si="12"/>
        <v>0</v>
      </c>
      <c r="Y48" s="12">
        <v>12</v>
      </c>
      <c r="Z48" s="12"/>
      <c r="AA48" s="12">
        <v>1</v>
      </c>
      <c r="AB48" s="12"/>
      <c r="AC48" s="12">
        <f t="shared" si="13"/>
        <v>0</v>
      </c>
    </row>
    <row r="49" spans="1:17" s="5" customFormat="1"/>
    <row r="50" spans="1:17" s="5" customFormat="1"/>
    <row r="51" spans="1:17" s="5" customFormat="1"/>
    <row r="52" spans="1:17" ht="40" customHeight="1">
      <c r="A52" s="71" t="s">
        <v>124</v>
      </c>
      <c r="B52" s="71"/>
      <c r="C52" s="71"/>
      <c r="D52" s="71"/>
      <c r="E52" s="71"/>
      <c r="G52" s="71" t="s">
        <v>125</v>
      </c>
      <c r="H52" s="71"/>
      <c r="I52" s="71"/>
      <c r="J52" s="71"/>
      <c r="K52" s="71"/>
      <c r="M52" s="71" t="s">
        <v>126</v>
      </c>
      <c r="N52" s="71"/>
      <c r="O52" s="71"/>
      <c r="P52" s="71"/>
      <c r="Q52" s="71"/>
    </row>
    <row r="53" spans="1:17" ht="20" customHeight="1">
      <c r="A53" s="15" t="s">
        <v>110</v>
      </c>
      <c r="B53" s="15" t="s">
        <v>111</v>
      </c>
      <c r="C53" s="15" t="s">
        <v>112</v>
      </c>
      <c r="D53" s="15" t="s">
        <v>113</v>
      </c>
      <c r="E53" s="15" t="s">
        <v>114</v>
      </c>
      <c r="G53" s="15" t="s">
        <v>110</v>
      </c>
      <c r="H53" s="15" t="s">
        <v>111</v>
      </c>
      <c r="I53" s="15" t="s">
        <v>112</v>
      </c>
      <c r="J53" s="15" t="s">
        <v>113</v>
      </c>
      <c r="K53" s="15" t="s">
        <v>114</v>
      </c>
      <c r="M53" s="15" t="s">
        <v>110</v>
      </c>
      <c r="N53" s="15" t="s">
        <v>111</v>
      </c>
      <c r="O53" s="15" t="s">
        <v>112</v>
      </c>
      <c r="P53" s="15" t="s">
        <v>113</v>
      </c>
      <c r="Q53" s="15" t="s">
        <v>114</v>
      </c>
    </row>
    <row r="54" spans="1:17" ht="20" customHeight="1">
      <c r="A54" s="15">
        <v>1</v>
      </c>
      <c r="B54" s="15"/>
      <c r="C54" s="15">
        <v>20</v>
      </c>
      <c r="D54" s="15"/>
      <c r="E54" s="15">
        <f t="shared" ref="E54:E65" si="14">(D54-B54)*C54</f>
        <v>0</v>
      </c>
      <c r="G54" s="15">
        <v>1</v>
      </c>
      <c r="H54" s="15"/>
      <c r="I54" s="15">
        <v>20</v>
      </c>
      <c r="J54" s="15"/>
      <c r="K54" s="15">
        <f t="shared" ref="K54:K65" si="15">(J54-H54)*I54</f>
        <v>0</v>
      </c>
      <c r="M54" s="15">
        <v>1</v>
      </c>
      <c r="N54" s="15"/>
      <c r="O54" s="15">
        <v>10</v>
      </c>
      <c r="P54" s="15"/>
      <c r="Q54" s="15">
        <f t="shared" ref="Q54:Q65" si="16">(P54-N54)*O54</f>
        <v>0</v>
      </c>
    </row>
    <row r="55" spans="1:17" ht="20" customHeight="1">
      <c r="A55" s="15">
        <v>2</v>
      </c>
      <c r="B55" s="15"/>
      <c r="C55" s="15">
        <v>20</v>
      </c>
      <c r="D55" s="15"/>
      <c r="E55" s="15">
        <f t="shared" si="14"/>
        <v>0</v>
      </c>
      <c r="G55" s="15">
        <v>2</v>
      </c>
      <c r="H55" s="15"/>
      <c r="I55" s="15">
        <v>20</v>
      </c>
      <c r="J55" s="15"/>
      <c r="K55" s="15">
        <f t="shared" si="15"/>
        <v>0</v>
      </c>
      <c r="M55" s="15">
        <v>2</v>
      </c>
      <c r="N55" s="15"/>
      <c r="O55" s="15">
        <v>10</v>
      </c>
      <c r="P55" s="15"/>
      <c r="Q55" s="15">
        <f t="shared" si="16"/>
        <v>0</v>
      </c>
    </row>
    <row r="56" spans="1:17" ht="20" customHeight="1">
      <c r="A56" s="15">
        <v>3</v>
      </c>
      <c r="B56" s="15"/>
      <c r="C56" s="15">
        <v>20</v>
      </c>
      <c r="D56" s="15"/>
      <c r="E56" s="15">
        <f t="shared" si="14"/>
        <v>0</v>
      </c>
      <c r="G56" s="15">
        <v>3</v>
      </c>
      <c r="H56" s="15"/>
      <c r="I56" s="15">
        <v>20</v>
      </c>
      <c r="J56" s="15"/>
      <c r="K56" s="15">
        <f t="shared" si="15"/>
        <v>0</v>
      </c>
      <c r="M56" s="15">
        <v>3</v>
      </c>
      <c r="N56" s="15"/>
      <c r="O56" s="15">
        <v>10</v>
      </c>
      <c r="P56" s="15"/>
      <c r="Q56" s="15">
        <f t="shared" si="16"/>
        <v>0</v>
      </c>
    </row>
    <row r="57" spans="1:17" ht="20" customHeight="1">
      <c r="A57" s="15">
        <v>4</v>
      </c>
      <c r="B57" s="15"/>
      <c r="C57" s="15">
        <v>20</v>
      </c>
      <c r="D57" s="16"/>
      <c r="E57" s="15">
        <f t="shared" si="14"/>
        <v>0</v>
      </c>
      <c r="G57" s="15">
        <v>4</v>
      </c>
      <c r="H57" s="15"/>
      <c r="I57" s="15">
        <v>20</v>
      </c>
      <c r="J57" s="16"/>
      <c r="K57" s="15">
        <f t="shared" si="15"/>
        <v>0</v>
      </c>
      <c r="M57" s="15">
        <v>4</v>
      </c>
      <c r="N57" s="15"/>
      <c r="O57" s="15">
        <v>10</v>
      </c>
      <c r="P57" s="16"/>
      <c r="Q57" s="15">
        <f t="shared" si="16"/>
        <v>0</v>
      </c>
    </row>
    <row r="58" spans="1:17" ht="20" customHeight="1">
      <c r="A58" s="15">
        <v>5</v>
      </c>
      <c r="B58" s="17"/>
      <c r="C58" s="15">
        <v>20</v>
      </c>
      <c r="D58" s="15"/>
      <c r="E58" s="15">
        <f t="shared" si="14"/>
        <v>0</v>
      </c>
      <c r="G58" s="15">
        <v>5</v>
      </c>
      <c r="H58" s="17"/>
      <c r="I58" s="15">
        <v>20</v>
      </c>
      <c r="J58" s="15"/>
      <c r="K58" s="15">
        <f t="shared" si="15"/>
        <v>0</v>
      </c>
      <c r="M58" s="15">
        <v>5</v>
      </c>
      <c r="N58" s="17"/>
      <c r="O58" s="15">
        <v>10</v>
      </c>
      <c r="P58" s="15"/>
      <c r="Q58" s="15">
        <f t="shared" si="16"/>
        <v>0</v>
      </c>
    </row>
    <row r="59" spans="1:17" ht="20" customHeight="1">
      <c r="A59" s="15">
        <v>6</v>
      </c>
      <c r="B59" s="15"/>
      <c r="C59" s="15">
        <v>20</v>
      </c>
      <c r="D59" s="15"/>
      <c r="E59" s="15">
        <f t="shared" si="14"/>
        <v>0</v>
      </c>
      <c r="G59" s="15">
        <v>6</v>
      </c>
      <c r="H59" s="15"/>
      <c r="I59" s="15">
        <v>20</v>
      </c>
      <c r="J59" s="15"/>
      <c r="K59" s="15">
        <f t="shared" si="15"/>
        <v>0</v>
      </c>
      <c r="M59" s="15">
        <v>6</v>
      </c>
      <c r="N59" s="15"/>
      <c r="O59" s="15">
        <v>10</v>
      </c>
      <c r="P59" s="15"/>
      <c r="Q59" s="15">
        <f t="shared" si="16"/>
        <v>0</v>
      </c>
    </row>
    <row r="60" spans="1:17" ht="20" customHeight="1">
      <c r="A60" s="15">
        <v>7</v>
      </c>
      <c r="B60" s="17">
        <v>62.91</v>
      </c>
      <c r="C60" s="15">
        <v>20</v>
      </c>
      <c r="D60" s="15">
        <v>68.81</v>
      </c>
      <c r="E60" s="15">
        <f t="shared" si="14"/>
        <v>118.00000000000011</v>
      </c>
      <c r="G60" s="15">
        <v>7</v>
      </c>
      <c r="H60" s="17">
        <v>67.39</v>
      </c>
      <c r="I60" s="15">
        <v>20</v>
      </c>
      <c r="J60" s="15">
        <v>76.989999999999995</v>
      </c>
      <c r="K60" s="15">
        <f t="shared" si="15"/>
        <v>191.99999999999989</v>
      </c>
      <c r="M60" s="15">
        <v>7</v>
      </c>
      <c r="N60" s="17">
        <v>143.80000000000001</v>
      </c>
      <c r="O60" s="15">
        <v>10</v>
      </c>
      <c r="P60" s="15">
        <v>148.69</v>
      </c>
      <c r="Q60" s="15">
        <f t="shared" si="16"/>
        <v>48.899999999999864</v>
      </c>
    </row>
    <row r="61" spans="1:17" ht="20" customHeight="1">
      <c r="A61" s="15">
        <v>8</v>
      </c>
      <c r="B61" s="15">
        <v>68.81</v>
      </c>
      <c r="C61" s="15">
        <v>20</v>
      </c>
      <c r="D61" s="15">
        <v>73.31</v>
      </c>
      <c r="E61" s="15">
        <f t="shared" si="14"/>
        <v>90</v>
      </c>
      <c r="G61" s="15">
        <v>8</v>
      </c>
      <c r="H61" s="15">
        <v>76.989999999999995</v>
      </c>
      <c r="I61" s="15">
        <v>20</v>
      </c>
      <c r="J61" s="15">
        <v>80.41</v>
      </c>
      <c r="K61" s="15">
        <f t="shared" si="15"/>
        <v>68.400000000000034</v>
      </c>
      <c r="M61" s="15">
        <v>8</v>
      </c>
      <c r="N61" s="15">
        <v>148.69</v>
      </c>
      <c r="O61" s="15">
        <v>10</v>
      </c>
      <c r="P61" s="15">
        <v>150.94999999999999</v>
      </c>
      <c r="Q61" s="15">
        <f t="shared" si="16"/>
        <v>22.599999999999909</v>
      </c>
    </row>
    <row r="62" spans="1:17" ht="20" customHeight="1">
      <c r="A62" s="15">
        <v>9</v>
      </c>
      <c r="B62" s="15"/>
      <c r="C62" s="15">
        <v>20</v>
      </c>
      <c r="D62" s="15"/>
      <c r="E62" s="15">
        <f t="shared" si="14"/>
        <v>0</v>
      </c>
      <c r="G62" s="15">
        <v>9</v>
      </c>
      <c r="H62" s="15"/>
      <c r="I62" s="15">
        <v>20</v>
      </c>
      <c r="J62" s="15"/>
      <c r="K62" s="15">
        <f t="shared" si="15"/>
        <v>0</v>
      </c>
      <c r="M62" s="15">
        <v>9</v>
      </c>
      <c r="N62" s="15"/>
      <c r="O62" s="15">
        <v>10</v>
      </c>
      <c r="P62" s="15"/>
      <c r="Q62" s="15">
        <f t="shared" si="16"/>
        <v>0</v>
      </c>
    </row>
    <row r="63" spans="1:17" ht="20" customHeight="1">
      <c r="A63" s="15">
        <v>10</v>
      </c>
      <c r="B63" s="15"/>
      <c r="C63" s="15">
        <v>20</v>
      </c>
      <c r="D63" s="15"/>
      <c r="E63" s="15">
        <f t="shared" si="14"/>
        <v>0</v>
      </c>
      <c r="G63" s="15">
        <v>10</v>
      </c>
      <c r="H63" s="15"/>
      <c r="I63" s="15">
        <v>20</v>
      </c>
      <c r="J63" s="15"/>
      <c r="K63" s="15">
        <f t="shared" si="15"/>
        <v>0</v>
      </c>
      <c r="M63" s="15">
        <v>10</v>
      </c>
      <c r="N63" s="15"/>
      <c r="O63" s="15">
        <v>10</v>
      </c>
      <c r="P63" s="15"/>
      <c r="Q63" s="15">
        <f t="shared" si="16"/>
        <v>0</v>
      </c>
    </row>
    <row r="64" spans="1:17" ht="20" customHeight="1">
      <c r="A64" s="15">
        <v>11</v>
      </c>
      <c r="B64" s="15"/>
      <c r="C64" s="15">
        <v>20</v>
      </c>
      <c r="D64" s="15"/>
      <c r="E64" s="15">
        <f t="shared" si="14"/>
        <v>0</v>
      </c>
      <c r="G64" s="15">
        <v>11</v>
      </c>
      <c r="H64" s="15"/>
      <c r="I64" s="15">
        <v>20</v>
      </c>
      <c r="J64" s="15"/>
      <c r="K64" s="15">
        <f t="shared" si="15"/>
        <v>0</v>
      </c>
      <c r="M64" s="15">
        <v>11</v>
      </c>
      <c r="N64" s="15"/>
      <c r="O64" s="15">
        <v>10</v>
      </c>
      <c r="P64" s="15"/>
      <c r="Q64" s="15">
        <f t="shared" si="16"/>
        <v>0</v>
      </c>
    </row>
    <row r="65" spans="1:17" ht="20" customHeight="1">
      <c r="A65" s="15">
        <v>12</v>
      </c>
      <c r="B65" s="15"/>
      <c r="C65" s="15">
        <v>20</v>
      </c>
      <c r="D65" s="15"/>
      <c r="E65" s="15">
        <f t="shared" si="14"/>
        <v>0</v>
      </c>
      <c r="G65" s="15">
        <v>12</v>
      </c>
      <c r="H65" s="15"/>
      <c r="I65" s="15">
        <v>20</v>
      </c>
      <c r="J65" s="15"/>
      <c r="K65" s="15">
        <f t="shared" si="15"/>
        <v>0</v>
      </c>
      <c r="M65" s="15">
        <v>12</v>
      </c>
      <c r="N65" s="15"/>
      <c r="O65" s="15">
        <v>10</v>
      </c>
      <c r="P65" s="15"/>
      <c r="Q65" s="15">
        <f t="shared" si="16"/>
        <v>0</v>
      </c>
    </row>
    <row r="69" spans="1:17" ht="19">
      <c r="A69" s="72" t="s">
        <v>127</v>
      </c>
      <c r="B69" s="72"/>
      <c r="C69" s="72"/>
      <c r="D69" s="72"/>
      <c r="E69" s="72"/>
      <c r="G69" s="72" t="s">
        <v>128</v>
      </c>
      <c r="H69" s="72"/>
      <c r="I69" s="72"/>
      <c r="J69" s="72"/>
      <c r="K69" s="72"/>
      <c r="M69" s="72" t="s">
        <v>129</v>
      </c>
      <c r="N69" s="72"/>
      <c r="O69" s="72"/>
      <c r="P69" s="72"/>
      <c r="Q69" s="72"/>
    </row>
    <row r="70" spans="1:17" ht="15">
      <c r="A70" s="18" t="s">
        <v>110</v>
      </c>
      <c r="B70" s="18" t="s">
        <v>111</v>
      </c>
      <c r="C70" s="18" t="s">
        <v>112</v>
      </c>
      <c r="D70" s="18" t="s">
        <v>113</v>
      </c>
      <c r="E70" s="18" t="s">
        <v>114</v>
      </c>
      <c r="G70" s="18" t="s">
        <v>110</v>
      </c>
      <c r="H70" s="18" t="s">
        <v>111</v>
      </c>
      <c r="I70" s="18" t="s">
        <v>112</v>
      </c>
      <c r="J70" s="18" t="s">
        <v>113</v>
      </c>
      <c r="K70" s="18" t="s">
        <v>114</v>
      </c>
      <c r="M70" s="18" t="s">
        <v>110</v>
      </c>
      <c r="N70" s="18" t="s">
        <v>111</v>
      </c>
      <c r="O70" s="18" t="s">
        <v>112</v>
      </c>
      <c r="P70" s="18" t="s">
        <v>113</v>
      </c>
      <c r="Q70" s="18" t="s">
        <v>114</v>
      </c>
    </row>
    <row r="71" spans="1:17" ht="15">
      <c r="A71" s="18">
        <v>1</v>
      </c>
      <c r="B71" s="18"/>
      <c r="C71" s="18">
        <v>20</v>
      </c>
      <c r="D71" s="18"/>
      <c r="E71" s="18">
        <f t="shared" ref="E71:E82" si="17">(D71-B71)*C71</f>
        <v>0</v>
      </c>
      <c r="G71" s="18">
        <v>1</v>
      </c>
      <c r="H71" s="18"/>
      <c r="I71" s="18">
        <v>20</v>
      </c>
      <c r="J71" s="18"/>
      <c r="K71" s="18">
        <f t="shared" ref="K71:K82" si="18">(J71-H71)*I71</f>
        <v>0</v>
      </c>
      <c r="M71" s="18">
        <v>1</v>
      </c>
      <c r="N71" s="18"/>
      <c r="O71" s="18">
        <v>10</v>
      </c>
      <c r="P71" s="18"/>
      <c r="Q71" s="18">
        <f t="shared" ref="Q71:Q82" si="19">(P71-N71)*O71</f>
        <v>0</v>
      </c>
    </row>
    <row r="72" spans="1:17" ht="15">
      <c r="A72" s="18">
        <v>2</v>
      </c>
      <c r="B72" s="18"/>
      <c r="C72" s="18">
        <v>20</v>
      </c>
      <c r="D72" s="18"/>
      <c r="E72" s="18">
        <f t="shared" si="17"/>
        <v>0</v>
      </c>
      <c r="G72" s="18">
        <v>2</v>
      </c>
      <c r="H72" s="18"/>
      <c r="I72" s="18">
        <v>20</v>
      </c>
      <c r="J72" s="18"/>
      <c r="K72" s="18">
        <f t="shared" si="18"/>
        <v>0</v>
      </c>
      <c r="M72" s="18">
        <v>2</v>
      </c>
      <c r="N72" s="18"/>
      <c r="O72" s="18">
        <v>10</v>
      </c>
      <c r="P72" s="18"/>
      <c r="Q72" s="18">
        <f t="shared" si="19"/>
        <v>0</v>
      </c>
    </row>
    <row r="73" spans="1:17" ht="15">
      <c r="A73" s="18">
        <v>3</v>
      </c>
      <c r="B73" s="18"/>
      <c r="C73" s="18">
        <v>20</v>
      </c>
      <c r="D73" s="18"/>
      <c r="E73" s="18">
        <f t="shared" si="17"/>
        <v>0</v>
      </c>
      <c r="G73" s="18">
        <v>3</v>
      </c>
      <c r="H73" s="18"/>
      <c r="I73" s="18">
        <v>20</v>
      </c>
      <c r="J73" s="18"/>
      <c r="K73" s="18">
        <f t="shared" si="18"/>
        <v>0</v>
      </c>
      <c r="M73" s="18">
        <v>3</v>
      </c>
      <c r="N73" s="18"/>
      <c r="O73" s="18">
        <v>10</v>
      </c>
      <c r="P73" s="18"/>
      <c r="Q73" s="18">
        <f t="shared" si="19"/>
        <v>0</v>
      </c>
    </row>
    <row r="74" spans="1:17" ht="15">
      <c r="A74" s="18">
        <v>4</v>
      </c>
      <c r="B74" s="18"/>
      <c r="C74" s="18">
        <v>20</v>
      </c>
      <c r="D74" s="19"/>
      <c r="E74" s="18">
        <f t="shared" si="17"/>
        <v>0</v>
      </c>
      <c r="G74" s="18">
        <v>4</v>
      </c>
      <c r="H74" s="18"/>
      <c r="I74" s="18">
        <v>20</v>
      </c>
      <c r="J74" s="19"/>
      <c r="K74" s="18">
        <f t="shared" si="18"/>
        <v>0</v>
      </c>
      <c r="M74" s="18">
        <v>4</v>
      </c>
      <c r="N74" s="18"/>
      <c r="O74" s="18">
        <v>10</v>
      </c>
      <c r="P74" s="19"/>
      <c r="Q74" s="18">
        <f t="shared" si="19"/>
        <v>0</v>
      </c>
    </row>
    <row r="75" spans="1:17" ht="15">
      <c r="A75" s="18">
        <v>5</v>
      </c>
      <c r="B75" s="20"/>
      <c r="C75" s="18">
        <v>20</v>
      </c>
      <c r="D75" s="18"/>
      <c r="E75" s="18">
        <f t="shared" si="17"/>
        <v>0</v>
      </c>
      <c r="G75" s="18">
        <v>5</v>
      </c>
      <c r="H75" s="20"/>
      <c r="I75" s="18">
        <v>20</v>
      </c>
      <c r="J75" s="18"/>
      <c r="K75" s="18">
        <f t="shared" si="18"/>
        <v>0</v>
      </c>
      <c r="M75" s="18">
        <v>5</v>
      </c>
      <c r="N75" s="20"/>
      <c r="O75" s="18">
        <v>10</v>
      </c>
      <c r="P75" s="18"/>
      <c r="Q75" s="18">
        <f t="shared" si="19"/>
        <v>0</v>
      </c>
    </row>
    <row r="76" spans="1:17" ht="15">
      <c r="A76" s="18">
        <v>6</v>
      </c>
      <c r="B76" s="18"/>
      <c r="C76" s="18">
        <v>20</v>
      </c>
      <c r="D76" s="18"/>
      <c r="E76" s="18">
        <f t="shared" si="17"/>
        <v>0</v>
      </c>
      <c r="G76" s="18">
        <v>6</v>
      </c>
      <c r="H76" s="18"/>
      <c r="I76" s="18">
        <v>20</v>
      </c>
      <c r="J76" s="18"/>
      <c r="K76" s="18">
        <f t="shared" si="18"/>
        <v>0</v>
      </c>
      <c r="M76" s="18">
        <v>6</v>
      </c>
      <c r="N76" s="18"/>
      <c r="O76" s="18">
        <v>10</v>
      </c>
      <c r="P76" s="18"/>
      <c r="Q76" s="18">
        <f t="shared" si="19"/>
        <v>0</v>
      </c>
    </row>
    <row r="77" spans="1:17" ht="15">
      <c r="A77" s="18">
        <v>7</v>
      </c>
      <c r="B77" s="18">
        <v>126.85</v>
      </c>
      <c r="C77" s="18">
        <v>20</v>
      </c>
      <c r="D77" s="18">
        <v>139.05000000000001</v>
      </c>
      <c r="E77" s="18">
        <f t="shared" si="17"/>
        <v>244.00000000000034</v>
      </c>
      <c r="G77" s="18">
        <v>7</v>
      </c>
      <c r="H77" s="18">
        <v>99.98</v>
      </c>
      <c r="I77" s="18">
        <v>20</v>
      </c>
      <c r="J77" s="18">
        <v>103.32</v>
      </c>
      <c r="K77" s="18">
        <f t="shared" si="18"/>
        <v>66.799999999999784</v>
      </c>
      <c r="M77" s="18">
        <v>7</v>
      </c>
      <c r="N77" s="18">
        <v>87.16</v>
      </c>
      <c r="O77" s="18">
        <v>10</v>
      </c>
      <c r="P77" s="18">
        <v>93.46</v>
      </c>
      <c r="Q77" s="18">
        <f t="shared" si="19"/>
        <v>62.999999999999972</v>
      </c>
    </row>
    <row r="78" spans="1:17" ht="15">
      <c r="A78" s="18">
        <v>8</v>
      </c>
      <c r="B78" s="18">
        <v>139.05000000000001</v>
      </c>
      <c r="C78" s="18">
        <v>20</v>
      </c>
      <c r="D78" s="18">
        <v>193.57</v>
      </c>
      <c r="E78" s="18">
        <f t="shared" si="17"/>
        <v>1090.3999999999996</v>
      </c>
      <c r="G78" s="18">
        <v>8</v>
      </c>
      <c r="H78" s="18">
        <v>103.32</v>
      </c>
      <c r="I78" s="18">
        <v>20</v>
      </c>
      <c r="J78" s="18">
        <v>106.68</v>
      </c>
      <c r="K78" s="18">
        <f t="shared" si="18"/>
        <v>67.200000000000273</v>
      </c>
      <c r="M78" s="18">
        <v>8</v>
      </c>
      <c r="N78" s="18">
        <v>93.46</v>
      </c>
      <c r="O78" s="18">
        <v>10</v>
      </c>
      <c r="P78" s="18">
        <v>99.06</v>
      </c>
      <c r="Q78" s="18">
        <f t="shared" si="19"/>
        <v>56.000000000000085</v>
      </c>
    </row>
    <row r="79" spans="1:17" ht="15">
      <c r="A79" s="18">
        <v>9</v>
      </c>
      <c r="B79" s="18"/>
      <c r="C79" s="18">
        <v>20</v>
      </c>
      <c r="D79" s="18"/>
      <c r="E79" s="18">
        <f t="shared" si="17"/>
        <v>0</v>
      </c>
      <c r="G79" s="18">
        <v>9</v>
      </c>
      <c r="H79" s="18"/>
      <c r="I79" s="18">
        <v>20</v>
      </c>
      <c r="J79" s="18"/>
      <c r="K79" s="18">
        <f t="shared" si="18"/>
        <v>0</v>
      </c>
      <c r="M79" s="18">
        <v>9</v>
      </c>
      <c r="N79" s="18"/>
      <c r="O79" s="18">
        <v>10</v>
      </c>
      <c r="P79" s="18"/>
      <c r="Q79" s="18">
        <f t="shared" si="19"/>
        <v>0</v>
      </c>
    </row>
    <row r="80" spans="1:17" ht="15">
      <c r="A80" s="18">
        <v>10</v>
      </c>
      <c r="B80" s="18"/>
      <c r="C80" s="18">
        <v>20</v>
      </c>
      <c r="D80" s="18"/>
      <c r="E80" s="18">
        <f t="shared" si="17"/>
        <v>0</v>
      </c>
      <c r="G80" s="18">
        <v>10</v>
      </c>
      <c r="H80" s="18"/>
      <c r="I80" s="18">
        <v>20</v>
      </c>
      <c r="J80" s="18"/>
      <c r="K80" s="18">
        <f t="shared" si="18"/>
        <v>0</v>
      </c>
      <c r="M80" s="18">
        <v>10</v>
      </c>
      <c r="N80" s="18"/>
      <c r="O80" s="18">
        <v>10</v>
      </c>
      <c r="P80" s="18"/>
      <c r="Q80" s="18">
        <f t="shared" si="19"/>
        <v>0</v>
      </c>
    </row>
    <row r="81" spans="1:17" ht="15">
      <c r="A81" s="18">
        <v>11</v>
      </c>
      <c r="B81" s="18"/>
      <c r="C81" s="18">
        <v>20</v>
      </c>
      <c r="D81" s="18"/>
      <c r="E81" s="18">
        <f t="shared" si="17"/>
        <v>0</v>
      </c>
      <c r="G81" s="18">
        <v>11</v>
      </c>
      <c r="H81" s="18"/>
      <c r="I81" s="18">
        <v>20</v>
      </c>
      <c r="J81" s="18"/>
      <c r="K81" s="18">
        <f t="shared" si="18"/>
        <v>0</v>
      </c>
      <c r="M81" s="18">
        <v>11</v>
      </c>
      <c r="N81" s="18"/>
      <c r="O81" s="18">
        <v>10</v>
      </c>
      <c r="P81" s="18"/>
      <c r="Q81" s="18">
        <f t="shared" si="19"/>
        <v>0</v>
      </c>
    </row>
    <row r="82" spans="1:17" ht="15">
      <c r="A82" s="18">
        <v>12</v>
      </c>
      <c r="B82" s="18"/>
      <c r="C82" s="18">
        <v>20</v>
      </c>
      <c r="D82" s="18"/>
      <c r="E82" s="18">
        <f t="shared" si="17"/>
        <v>0</v>
      </c>
      <c r="G82" s="18">
        <v>12</v>
      </c>
      <c r="H82" s="18"/>
      <c r="I82" s="18">
        <v>20</v>
      </c>
      <c r="J82" s="18"/>
      <c r="K82" s="18">
        <f t="shared" si="18"/>
        <v>0</v>
      </c>
      <c r="M82" s="18">
        <v>12</v>
      </c>
      <c r="N82" s="18"/>
      <c r="O82" s="18">
        <v>10</v>
      </c>
      <c r="P82" s="18"/>
      <c r="Q82" s="18">
        <f t="shared" si="19"/>
        <v>0</v>
      </c>
    </row>
    <row r="86" spans="1:17" ht="19">
      <c r="A86" s="68" t="s">
        <v>130</v>
      </c>
      <c r="B86" s="68"/>
      <c r="C86" s="68"/>
      <c r="D86" s="68"/>
      <c r="E86" s="68"/>
      <c r="G86" s="68" t="s">
        <v>131</v>
      </c>
      <c r="H86" s="68"/>
      <c r="I86" s="68"/>
      <c r="J86" s="68"/>
      <c r="K86" s="68"/>
      <c r="M86" s="68" t="s">
        <v>132</v>
      </c>
      <c r="N86" s="68"/>
      <c r="O86" s="68"/>
      <c r="P86" s="68"/>
      <c r="Q86" s="68"/>
    </row>
    <row r="87" spans="1:17" ht="15">
      <c r="A87" s="21" t="s">
        <v>110</v>
      </c>
      <c r="B87" s="21" t="s">
        <v>111</v>
      </c>
      <c r="C87" s="21" t="s">
        <v>112</v>
      </c>
      <c r="D87" s="21" t="s">
        <v>113</v>
      </c>
      <c r="E87" s="21" t="s">
        <v>114</v>
      </c>
      <c r="G87" s="21" t="s">
        <v>110</v>
      </c>
      <c r="H87" s="21" t="s">
        <v>111</v>
      </c>
      <c r="I87" s="21" t="s">
        <v>112</v>
      </c>
      <c r="J87" s="21" t="s">
        <v>113</v>
      </c>
      <c r="K87" s="21" t="s">
        <v>114</v>
      </c>
      <c r="M87" s="21" t="s">
        <v>110</v>
      </c>
      <c r="N87" s="21" t="s">
        <v>111</v>
      </c>
      <c r="O87" s="21" t="s">
        <v>112</v>
      </c>
      <c r="P87" s="21" t="s">
        <v>113</v>
      </c>
      <c r="Q87" s="21" t="s">
        <v>114</v>
      </c>
    </row>
    <row r="88" spans="1:17" ht="15">
      <c r="A88" s="21">
        <v>1</v>
      </c>
      <c r="B88" s="21"/>
      <c r="C88" s="21">
        <v>20</v>
      </c>
      <c r="D88" s="21"/>
      <c r="E88" s="21">
        <f t="shared" ref="E88:E99" si="20">(D88-B88)*C88</f>
        <v>0</v>
      </c>
      <c r="G88" s="21">
        <v>1</v>
      </c>
      <c r="H88" s="21"/>
      <c r="I88" s="21">
        <v>20</v>
      </c>
      <c r="J88" s="21"/>
      <c r="K88" s="21">
        <f t="shared" ref="K88:K99" si="21">(J88-H88)*I88</f>
        <v>0</v>
      </c>
      <c r="M88" s="21">
        <v>1</v>
      </c>
      <c r="N88" s="21"/>
      <c r="O88" s="21">
        <v>10</v>
      </c>
      <c r="P88" s="21"/>
      <c r="Q88" s="21">
        <f t="shared" ref="Q88:Q99" si="22">(P88-N88)*O88</f>
        <v>0</v>
      </c>
    </row>
    <row r="89" spans="1:17" ht="15">
      <c r="A89" s="21">
        <v>2</v>
      </c>
      <c r="B89" s="21"/>
      <c r="C89" s="21">
        <v>20</v>
      </c>
      <c r="D89" s="21"/>
      <c r="E89" s="21">
        <f t="shared" si="20"/>
        <v>0</v>
      </c>
      <c r="G89" s="21">
        <v>2</v>
      </c>
      <c r="H89" s="21"/>
      <c r="I89" s="21">
        <v>20</v>
      </c>
      <c r="J89" s="21"/>
      <c r="K89" s="21">
        <f t="shared" si="21"/>
        <v>0</v>
      </c>
      <c r="M89" s="21">
        <v>2</v>
      </c>
      <c r="N89" s="21"/>
      <c r="O89" s="21">
        <v>10</v>
      </c>
      <c r="P89" s="21"/>
      <c r="Q89" s="21">
        <f t="shared" si="22"/>
        <v>0</v>
      </c>
    </row>
    <row r="90" spans="1:17" ht="15">
      <c r="A90" s="21">
        <v>3</v>
      </c>
      <c r="B90" s="21"/>
      <c r="C90" s="21">
        <v>20</v>
      </c>
      <c r="D90" s="21"/>
      <c r="E90" s="21">
        <f t="shared" si="20"/>
        <v>0</v>
      </c>
      <c r="G90" s="21">
        <v>3</v>
      </c>
      <c r="H90" s="21"/>
      <c r="I90" s="21">
        <v>20</v>
      </c>
      <c r="J90" s="21"/>
      <c r="K90" s="21">
        <f t="shared" si="21"/>
        <v>0</v>
      </c>
      <c r="M90" s="21">
        <v>3</v>
      </c>
      <c r="N90" s="21"/>
      <c r="O90" s="21">
        <v>10</v>
      </c>
      <c r="P90" s="21"/>
      <c r="Q90" s="21">
        <f t="shared" si="22"/>
        <v>0</v>
      </c>
    </row>
    <row r="91" spans="1:17" ht="15">
      <c r="A91" s="21">
        <v>4</v>
      </c>
      <c r="B91" s="21"/>
      <c r="C91" s="21">
        <v>20</v>
      </c>
      <c r="D91" s="22"/>
      <c r="E91" s="21">
        <f t="shared" si="20"/>
        <v>0</v>
      </c>
      <c r="G91" s="21">
        <v>4</v>
      </c>
      <c r="H91" s="21"/>
      <c r="I91" s="21">
        <v>20</v>
      </c>
      <c r="J91" s="22"/>
      <c r="K91" s="21">
        <f t="shared" si="21"/>
        <v>0</v>
      </c>
      <c r="M91" s="21">
        <v>4</v>
      </c>
      <c r="N91" s="21"/>
      <c r="O91" s="21">
        <v>10</v>
      </c>
      <c r="P91" s="22"/>
      <c r="Q91" s="21">
        <f t="shared" si="22"/>
        <v>0</v>
      </c>
    </row>
    <row r="92" spans="1:17" ht="15">
      <c r="A92" s="21">
        <v>5</v>
      </c>
      <c r="B92" s="23"/>
      <c r="C92" s="21">
        <v>20</v>
      </c>
      <c r="D92" s="21"/>
      <c r="E92" s="21">
        <f t="shared" si="20"/>
        <v>0</v>
      </c>
      <c r="G92" s="21">
        <v>5</v>
      </c>
      <c r="H92" s="23"/>
      <c r="I92" s="21">
        <v>20</v>
      </c>
      <c r="J92" s="21"/>
      <c r="K92" s="21">
        <f t="shared" si="21"/>
        <v>0</v>
      </c>
      <c r="M92" s="21">
        <v>5</v>
      </c>
      <c r="N92" s="23"/>
      <c r="O92" s="21">
        <v>10</v>
      </c>
      <c r="P92" s="21"/>
      <c r="Q92" s="21">
        <f t="shared" si="22"/>
        <v>0</v>
      </c>
    </row>
    <row r="93" spans="1:17" ht="15">
      <c r="A93" s="21">
        <v>6</v>
      </c>
      <c r="B93" s="21"/>
      <c r="C93" s="21">
        <v>20</v>
      </c>
      <c r="D93" s="21"/>
      <c r="E93" s="21">
        <f t="shared" si="20"/>
        <v>0</v>
      </c>
      <c r="G93" s="21">
        <v>6</v>
      </c>
      <c r="H93" s="21"/>
      <c r="I93" s="21">
        <v>20</v>
      </c>
      <c r="J93" s="21"/>
      <c r="K93" s="21">
        <f t="shared" si="21"/>
        <v>0</v>
      </c>
      <c r="M93" s="21">
        <v>6</v>
      </c>
      <c r="N93" s="21"/>
      <c r="O93" s="21">
        <v>10</v>
      </c>
      <c r="P93" s="21"/>
      <c r="Q93" s="21">
        <f t="shared" si="22"/>
        <v>0</v>
      </c>
    </row>
    <row r="94" spans="1:17" ht="15">
      <c r="A94" s="21">
        <v>7</v>
      </c>
      <c r="B94" s="21">
        <v>309.36</v>
      </c>
      <c r="C94" s="21">
        <v>20</v>
      </c>
      <c r="D94" s="21">
        <v>316.38</v>
      </c>
      <c r="E94" s="21">
        <f t="shared" si="20"/>
        <v>140.39999999999964</v>
      </c>
      <c r="G94" s="21">
        <v>7</v>
      </c>
      <c r="H94" s="21">
        <v>396.92</v>
      </c>
      <c r="I94" s="21">
        <v>20</v>
      </c>
      <c r="J94" s="21">
        <v>401.25</v>
      </c>
      <c r="K94" s="21">
        <f t="shared" si="21"/>
        <v>86.599999999999682</v>
      </c>
      <c r="M94" s="21">
        <v>7</v>
      </c>
      <c r="N94" s="21">
        <v>63.94</v>
      </c>
      <c r="O94" s="21">
        <v>10</v>
      </c>
      <c r="P94" s="21">
        <v>148.16999999999999</v>
      </c>
      <c r="Q94" s="21">
        <f t="shared" si="22"/>
        <v>842.3</v>
      </c>
    </row>
    <row r="95" spans="1:17" ht="15">
      <c r="A95" s="21">
        <v>8</v>
      </c>
      <c r="B95" s="21">
        <v>316.38</v>
      </c>
      <c r="C95" s="21">
        <v>20</v>
      </c>
      <c r="D95" s="21">
        <v>366.64</v>
      </c>
      <c r="E95" s="21">
        <f t="shared" si="20"/>
        <v>1005.1999999999998</v>
      </c>
      <c r="G95" s="21">
        <v>8</v>
      </c>
      <c r="H95" s="21">
        <v>401.25</v>
      </c>
      <c r="I95" s="21">
        <v>20</v>
      </c>
      <c r="J95" s="21">
        <v>401.3</v>
      </c>
      <c r="K95" s="21">
        <f t="shared" si="21"/>
        <v>1.0000000000002274</v>
      </c>
      <c r="M95" s="21">
        <v>8</v>
      </c>
      <c r="N95" s="21">
        <v>148.16999999999999</v>
      </c>
      <c r="O95" s="21">
        <v>10</v>
      </c>
      <c r="P95" s="21">
        <v>152.72</v>
      </c>
      <c r="Q95" s="21">
        <f t="shared" si="22"/>
        <v>45.500000000000114</v>
      </c>
    </row>
    <row r="96" spans="1:17" ht="15">
      <c r="A96" s="21">
        <v>9</v>
      </c>
      <c r="B96" s="21"/>
      <c r="C96" s="21">
        <v>20</v>
      </c>
      <c r="D96" s="21"/>
      <c r="E96" s="21">
        <f t="shared" si="20"/>
        <v>0</v>
      </c>
      <c r="G96" s="21">
        <v>9</v>
      </c>
      <c r="H96" s="21"/>
      <c r="I96" s="21">
        <v>20</v>
      </c>
      <c r="J96" s="21"/>
      <c r="K96" s="21">
        <f t="shared" si="21"/>
        <v>0</v>
      </c>
      <c r="M96" s="21">
        <v>9</v>
      </c>
      <c r="N96" s="21"/>
      <c r="O96" s="21">
        <v>10</v>
      </c>
      <c r="P96" s="21"/>
      <c r="Q96" s="21">
        <f t="shared" si="22"/>
        <v>0</v>
      </c>
    </row>
    <row r="97" spans="1:23" ht="15">
      <c r="A97" s="21">
        <v>10</v>
      </c>
      <c r="B97" s="21"/>
      <c r="C97" s="21">
        <v>20</v>
      </c>
      <c r="D97" s="21"/>
      <c r="E97" s="21">
        <f t="shared" si="20"/>
        <v>0</v>
      </c>
      <c r="G97" s="21">
        <v>10</v>
      </c>
      <c r="H97" s="21"/>
      <c r="I97" s="21">
        <v>20</v>
      </c>
      <c r="J97" s="21"/>
      <c r="K97" s="21">
        <f t="shared" si="21"/>
        <v>0</v>
      </c>
      <c r="M97" s="21">
        <v>10</v>
      </c>
      <c r="N97" s="21"/>
      <c r="O97" s="21">
        <v>10</v>
      </c>
      <c r="P97" s="21"/>
      <c r="Q97" s="21">
        <f t="shared" si="22"/>
        <v>0</v>
      </c>
    </row>
    <row r="98" spans="1:23" ht="15">
      <c r="A98" s="21">
        <v>11</v>
      </c>
      <c r="B98" s="21"/>
      <c r="C98" s="21">
        <v>20</v>
      </c>
      <c r="D98" s="21"/>
      <c r="E98" s="21">
        <f t="shared" si="20"/>
        <v>0</v>
      </c>
      <c r="G98" s="21">
        <v>11</v>
      </c>
      <c r="H98" s="21"/>
      <c r="I98" s="21">
        <v>20</v>
      </c>
      <c r="J98" s="21"/>
      <c r="K98" s="21">
        <f t="shared" si="21"/>
        <v>0</v>
      </c>
      <c r="M98" s="21">
        <v>11</v>
      </c>
      <c r="N98" s="21"/>
      <c r="O98" s="21">
        <v>10</v>
      </c>
      <c r="P98" s="21"/>
      <c r="Q98" s="21">
        <f t="shared" si="22"/>
        <v>0</v>
      </c>
    </row>
    <row r="99" spans="1:23" ht="15">
      <c r="A99" s="21">
        <v>12</v>
      </c>
      <c r="B99" s="21"/>
      <c r="C99" s="21">
        <v>20</v>
      </c>
      <c r="D99" s="21"/>
      <c r="E99" s="21">
        <f t="shared" si="20"/>
        <v>0</v>
      </c>
      <c r="G99" s="21">
        <v>12</v>
      </c>
      <c r="H99" s="21"/>
      <c r="I99" s="21">
        <v>20</v>
      </c>
      <c r="J99" s="21"/>
      <c r="K99" s="21">
        <f t="shared" si="21"/>
        <v>0</v>
      </c>
      <c r="M99" s="21">
        <v>12</v>
      </c>
      <c r="N99" s="21"/>
      <c r="O99" s="21">
        <v>10</v>
      </c>
      <c r="P99" s="21"/>
      <c r="Q99" s="21">
        <f t="shared" si="22"/>
        <v>0</v>
      </c>
    </row>
    <row r="100" spans="1:23">
      <c r="A100" s="5"/>
      <c r="B100" s="5"/>
      <c r="C100" s="5"/>
      <c r="D100" s="5"/>
      <c r="E100" s="5"/>
    </row>
    <row r="101" spans="1:23">
      <c r="A101" s="5"/>
      <c r="B101" s="5"/>
      <c r="C101" s="5"/>
      <c r="D101" s="5"/>
      <c r="E101" s="5"/>
    </row>
    <row r="102" spans="1:23" s="5" customFormat="1"/>
    <row r="103" spans="1:23" ht="19">
      <c r="A103" s="69" t="s">
        <v>133</v>
      </c>
      <c r="B103" s="69"/>
      <c r="C103" s="69"/>
      <c r="D103" s="69"/>
      <c r="E103" s="69"/>
      <c r="G103" s="66" t="s">
        <v>134</v>
      </c>
      <c r="H103" s="66"/>
      <c r="I103" s="66"/>
      <c r="J103" s="66"/>
      <c r="K103" s="66"/>
      <c r="M103" s="66" t="s">
        <v>135</v>
      </c>
      <c r="N103" s="66"/>
      <c r="O103" s="66"/>
      <c r="P103" s="66"/>
      <c r="Q103" s="66"/>
      <c r="S103" s="66" t="s">
        <v>135</v>
      </c>
      <c r="T103" s="66"/>
      <c r="U103" s="66"/>
      <c r="V103" s="66"/>
      <c r="W103" s="66"/>
    </row>
    <row r="104" spans="1:23" ht="15">
      <c r="A104" s="24" t="s">
        <v>110</v>
      </c>
      <c r="B104" s="24" t="s">
        <v>111</v>
      </c>
      <c r="C104" s="24" t="s">
        <v>112</v>
      </c>
      <c r="D104" s="24" t="s">
        <v>113</v>
      </c>
      <c r="E104" s="24" t="s">
        <v>114</v>
      </c>
      <c r="G104" s="24" t="s">
        <v>110</v>
      </c>
      <c r="H104" s="24" t="s">
        <v>111</v>
      </c>
      <c r="I104" s="24" t="s">
        <v>112</v>
      </c>
      <c r="J104" s="24" t="s">
        <v>113</v>
      </c>
      <c r="K104" s="24" t="s">
        <v>114</v>
      </c>
      <c r="M104" s="24" t="s">
        <v>110</v>
      </c>
      <c r="N104" s="24" t="s">
        <v>111</v>
      </c>
      <c r="O104" s="24" t="s">
        <v>112</v>
      </c>
      <c r="P104" s="24" t="s">
        <v>113</v>
      </c>
      <c r="Q104" s="24" t="s">
        <v>114</v>
      </c>
      <c r="S104" s="24" t="s">
        <v>110</v>
      </c>
      <c r="T104" s="24" t="s">
        <v>111</v>
      </c>
      <c r="U104" s="24" t="s">
        <v>112</v>
      </c>
      <c r="V104" s="24" t="s">
        <v>113</v>
      </c>
      <c r="W104" s="24" t="s">
        <v>114</v>
      </c>
    </row>
    <row r="105" spans="1:23" ht="15">
      <c r="A105" s="24">
        <v>1</v>
      </c>
      <c r="B105" s="24"/>
      <c r="C105" s="24">
        <v>1</v>
      </c>
      <c r="D105" s="24"/>
      <c r="E105" s="24">
        <f t="shared" ref="E105:E116" si="23">(D105-B105)*C105</f>
        <v>0</v>
      </c>
      <c r="G105" s="24">
        <v>1</v>
      </c>
      <c r="H105" s="24"/>
      <c r="I105" s="24">
        <v>10</v>
      </c>
      <c r="J105" s="24"/>
      <c r="K105" s="24">
        <f t="shared" ref="K105:K116" si="24">(J105-H105)*I105</f>
        <v>0</v>
      </c>
      <c r="M105" s="24">
        <v>1</v>
      </c>
      <c r="N105" s="24"/>
      <c r="O105" s="24">
        <v>20</v>
      </c>
      <c r="P105" s="24"/>
      <c r="Q105" s="24">
        <f t="shared" ref="Q105:Q116" si="25">(P105-N105)*O105</f>
        <v>0</v>
      </c>
      <c r="S105" s="24">
        <v>1</v>
      </c>
      <c r="T105" s="24"/>
      <c r="U105" s="24">
        <v>20</v>
      </c>
      <c r="V105" s="24"/>
      <c r="W105" s="24">
        <f t="shared" ref="W105:W116" si="26">(V105-T105)*U105</f>
        <v>0</v>
      </c>
    </row>
    <row r="106" spans="1:23" ht="15">
      <c r="A106" s="24">
        <v>2</v>
      </c>
      <c r="B106" s="24"/>
      <c r="C106" s="24">
        <v>1</v>
      </c>
      <c r="D106" s="24"/>
      <c r="E106" s="24">
        <f t="shared" si="23"/>
        <v>0</v>
      </c>
      <c r="G106" s="24">
        <v>2</v>
      </c>
      <c r="H106" s="24"/>
      <c r="I106" s="24">
        <v>10</v>
      </c>
      <c r="J106" s="24"/>
      <c r="K106" s="24">
        <f t="shared" si="24"/>
        <v>0</v>
      </c>
      <c r="M106" s="24">
        <v>2</v>
      </c>
      <c r="N106" s="24"/>
      <c r="O106" s="24">
        <v>20</v>
      </c>
      <c r="P106" s="24"/>
      <c r="Q106" s="24">
        <f t="shared" si="25"/>
        <v>0</v>
      </c>
      <c r="S106" s="24">
        <v>2</v>
      </c>
      <c r="T106" s="24"/>
      <c r="U106" s="24">
        <v>20</v>
      </c>
      <c r="V106" s="24"/>
      <c r="W106" s="24">
        <f t="shared" si="26"/>
        <v>0</v>
      </c>
    </row>
    <row r="107" spans="1:23" ht="15">
      <c r="A107" s="24">
        <v>3</v>
      </c>
      <c r="B107" s="24"/>
      <c r="C107" s="24">
        <v>1</v>
      </c>
      <c r="D107" s="24"/>
      <c r="E107" s="24">
        <f t="shared" si="23"/>
        <v>0</v>
      </c>
      <c r="G107" s="24">
        <v>3</v>
      </c>
      <c r="H107" s="24"/>
      <c r="I107" s="24">
        <v>10</v>
      </c>
      <c r="J107" s="24"/>
      <c r="K107" s="24">
        <f t="shared" si="24"/>
        <v>0</v>
      </c>
      <c r="M107" s="24">
        <v>3</v>
      </c>
      <c r="N107" s="24"/>
      <c r="O107" s="24">
        <v>20</v>
      </c>
      <c r="P107" s="24"/>
      <c r="Q107" s="24">
        <f t="shared" si="25"/>
        <v>0</v>
      </c>
      <c r="S107" s="24">
        <v>3</v>
      </c>
      <c r="T107" s="24"/>
      <c r="U107" s="24">
        <v>20</v>
      </c>
      <c r="V107" s="24"/>
      <c r="W107" s="24">
        <f t="shared" si="26"/>
        <v>0</v>
      </c>
    </row>
    <row r="108" spans="1:23" ht="15">
      <c r="A108" s="24">
        <v>4</v>
      </c>
      <c r="B108" s="24"/>
      <c r="C108" s="24">
        <v>1</v>
      </c>
      <c r="D108" s="25"/>
      <c r="E108" s="24">
        <f t="shared" si="23"/>
        <v>0</v>
      </c>
      <c r="G108" s="24">
        <v>4</v>
      </c>
      <c r="H108" s="24"/>
      <c r="I108" s="24">
        <v>10</v>
      </c>
      <c r="J108" s="26"/>
      <c r="K108" s="24">
        <f t="shared" si="24"/>
        <v>0</v>
      </c>
      <c r="M108" s="24">
        <v>4</v>
      </c>
      <c r="N108" s="24"/>
      <c r="O108" s="24">
        <v>20</v>
      </c>
      <c r="P108" s="27"/>
      <c r="Q108" s="24">
        <f t="shared" si="25"/>
        <v>0</v>
      </c>
      <c r="S108" s="24">
        <v>4</v>
      </c>
      <c r="T108" s="24"/>
      <c r="U108" s="24">
        <v>20</v>
      </c>
      <c r="V108" s="27"/>
      <c r="W108" s="24">
        <f t="shared" si="26"/>
        <v>0</v>
      </c>
    </row>
    <row r="109" spans="1:23" ht="15">
      <c r="A109" s="24">
        <v>5</v>
      </c>
      <c r="B109" s="24"/>
      <c r="C109" s="24">
        <v>1</v>
      </c>
      <c r="D109" s="24"/>
      <c r="E109" s="24">
        <f t="shared" si="23"/>
        <v>0</v>
      </c>
      <c r="G109" s="24">
        <v>5</v>
      </c>
      <c r="H109" s="26"/>
      <c r="I109" s="24">
        <v>10</v>
      </c>
      <c r="J109" s="24"/>
      <c r="K109" s="24">
        <f t="shared" si="24"/>
        <v>0</v>
      </c>
      <c r="M109" s="24">
        <v>5</v>
      </c>
      <c r="N109" s="27"/>
      <c r="O109" s="24">
        <v>20</v>
      </c>
      <c r="P109" s="24"/>
      <c r="Q109" s="24">
        <f t="shared" si="25"/>
        <v>0</v>
      </c>
      <c r="S109" s="24">
        <v>5</v>
      </c>
      <c r="T109" s="27"/>
      <c r="U109" s="24">
        <v>20</v>
      </c>
      <c r="V109" s="24"/>
      <c r="W109" s="24">
        <f t="shared" si="26"/>
        <v>0</v>
      </c>
    </row>
    <row r="110" spans="1:23" ht="15">
      <c r="A110" s="24">
        <v>6</v>
      </c>
      <c r="B110" s="25"/>
      <c r="C110" s="24">
        <v>1</v>
      </c>
      <c r="D110" s="24"/>
      <c r="E110" s="24">
        <f t="shared" si="23"/>
        <v>0</v>
      </c>
      <c r="G110" s="24">
        <v>6</v>
      </c>
      <c r="H110" s="24"/>
      <c r="I110" s="24">
        <v>10</v>
      </c>
      <c r="J110" s="24"/>
      <c r="K110" s="24">
        <f t="shared" si="24"/>
        <v>0</v>
      </c>
      <c r="M110" s="24">
        <v>6</v>
      </c>
      <c r="N110" s="24"/>
      <c r="O110" s="24">
        <v>20</v>
      </c>
      <c r="P110" s="24"/>
      <c r="Q110" s="24">
        <f t="shared" si="25"/>
        <v>0</v>
      </c>
      <c r="S110" s="24">
        <v>6</v>
      </c>
      <c r="T110" s="24"/>
      <c r="U110" s="24">
        <v>20</v>
      </c>
      <c r="V110" s="24"/>
      <c r="W110" s="24">
        <f t="shared" si="26"/>
        <v>0</v>
      </c>
    </row>
    <row r="111" spans="1:23" ht="15">
      <c r="A111" s="24">
        <v>7</v>
      </c>
      <c r="B111" s="24"/>
      <c r="C111" s="24">
        <v>1</v>
      </c>
      <c r="D111" s="24"/>
      <c r="E111" s="24">
        <f t="shared" si="23"/>
        <v>0</v>
      </c>
      <c r="G111" s="24">
        <v>7</v>
      </c>
      <c r="H111" s="24"/>
      <c r="I111" s="24">
        <v>10</v>
      </c>
      <c r="J111" s="24"/>
      <c r="K111" s="24">
        <f t="shared" si="24"/>
        <v>0</v>
      </c>
      <c r="M111" s="24">
        <v>7</v>
      </c>
      <c r="N111" s="24"/>
      <c r="O111" s="24">
        <v>20</v>
      </c>
      <c r="P111" s="24"/>
      <c r="Q111" s="24">
        <f t="shared" si="25"/>
        <v>0</v>
      </c>
      <c r="S111" s="24">
        <v>7</v>
      </c>
      <c r="T111" s="24"/>
      <c r="U111" s="24">
        <v>20</v>
      </c>
      <c r="V111" s="24"/>
      <c r="W111" s="24">
        <f t="shared" si="26"/>
        <v>0</v>
      </c>
    </row>
    <row r="112" spans="1:23" ht="15">
      <c r="A112" s="24">
        <v>8</v>
      </c>
      <c r="B112" s="24"/>
      <c r="C112" s="24">
        <v>1</v>
      </c>
      <c r="D112" s="24">
        <v>3054.97</v>
      </c>
      <c r="E112" s="24">
        <f t="shared" si="23"/>
        <v>3054.97</v>
      </c>
      <c r="G112" s="24">
        <v>8</v>
      </c>
      <c r="H112" s="24"/>
      <c r="I112" s="24">
        <v>10</v>
      </c>
      <c r="J112" s="24">
        <v>72.819999999999993</v>
      </c>
      <c r="K112" s="24">
        <f t="shared" si="24"/>
        <v>728.19999999999993</v>
      </c>
      <c r="M112" s="24">
        <v>8</v>
      </c>
      <c r="N112" s="24"/>
      <c r="O112" s="24">
        <v>20</v>
      </c>
      <c r="P112" s="24">
        <v>75.599999999999994</v>
      </c>
      <c r="Q112" s="24">
        <f t="shared" si="25"/>
        <v>1512</v>
      </c>
      <c r="S112" s="24">
        <v>8</v>
      </c>
      <c r="T112" s="24"/>
      <c r="U112" s="24">
        <v>20</v>
      </c>
      <c r="V112" s="24"/>
      <c r="W112" s="24">
        <f t="shared" si="26"/>
        <v>0</v>
      </c>
    </row>
    <row r="113" spans="1:23" ht="15">
      <c r="A113" s="24">
        <v>9</v>
      </c>
      <c r="B113" s="24"/>
      <c r="C113" s="24">
        <v>1</v>
      </c>
      <c r="D113" s="24"/>
      <c r="E113" s="24">
        <f t="shared" si="23"/>
        <v>0</v>
      </c>
      <c r="G113" s="24">
        <v>9</v>
      </c>
      <c r="H113" s="24"/>
      <c r="I113" s="24">
        <v>10</v>
      </c>
      <c r="J113" s="24"/>
      <c r="K113" s="24">
        <f t="shared" si="24"/>
        <v>0</v>
      </c>
      <c r="M113" s="24">
        <v>9</v>
      </c>
      <c r="N113" s="24"/>
      <c r="O113" s="24">
        <v>20</v>
      </c>
      <c r="P113" s="24"/>
      <c r="Q113" s="24">
        <f t="shared" si="25"/>
        <v>0</v>
      </c>
      <c r="S113" s="24">
        <v>9</v>
      </c>
      <c r="T113" s="24">
        <v>74.31</v>
      </c>
      <c r="U113" s="24">
        <v>20</v>
      </c>
      <c r="V113" s="24"/>
      <c r="W113" s="24">
        <f t="shared" si="26"/>
        <v>-1486.2</v>
      </c>
    </row>
    <row r="114" spans="1:23" ht="15">
      <c r="A114" s="24">
        <v>10</v>
      </c>
      <c r="B114" s="24"/>
      <c r="C114" s="24">
        <v>1</v>
      </c>
      <c r="D114" s="24"/>
      <c r="E114" s="24">
        <f t="shared" si="23"/>
        <v>0</v>
      </c>
      <c r="G114" s="24">
        <v>10</v>
      </c>
      <c r="H114" s="24"/>
      <c r="I114" s="24">
        <v>10</v>
      </c>
      <c r="J114" s="24"/>
      <c r="K114" s="24">
        <f t="shared" si="24"/>
        <v>0</v>
      </c>
      <c r="M114" s="24">
        <v>10</v>
      </c>
      <c r="N114" s="24"/>
      <c r="O114" s="24">
        <v>20</v>
      </c>
      <c r="P114" s="24"/>
      <c r="Q114" s="24">
        <f t="shared" si="25"/>
        <v>0</v>
      </c>
      <c r="S114" s="24">
        <v>10</v>
      </c>
      <c r="T114" s="24"/>
      <c r="U114" s="24">
        <v>20</v>
      </c>
      <c r="V114" s="24"/>
      <c r="W114" s="24">
        <f t="shared" si="26"/>
        <v>0</v>
      </c>
    </row>
    <row r="115" spans="1:23" ht="15">
      <c r="A115" s="24">
        <v>11</v>
      </c>
      <c r="B115" s="24"/>
      <c r="C115" s="24">
        <v>1</v>
      </c>
      <c r="D115" s="24"/>
      <c r="E115" s="24">
        <f t="shared" si="23"/>
        <v>0</v>
      </c>
      <c r="G115" s="24">
        <v>11</v>
      </c>
      <c r="H115" s="24"/>
      <c r="I115" s="24">
        <v>10</v>
      </c>
      <c r="J115" s="24"/>
      <c r="K115" s="24">
        <f t="shared" si="24"/>
        <v>0</v>
      </c>
      <c r="M115" s="24">
        <v>11</v>
      </c>
      <c r="N115" s="24"/>
      <c r="O115" s="24">
        <v>20</v>
      </c>
      <c r="P115" s="24"/>
      <c r="Q115" s="24">
        <f t="shared" si="25"/>
        <v>0</v>
      </c>
      <c r="S115" s="24">
        <v>11</v>
      </c>
      <c r="T115" s="24"/>
      <c r="U115" s="24">
        <v>20</v>
      </c>
      <c r="V115" s="24"/>
      <c r="W115" s="24">
        <f t="shared" si="26"/>
        <v>0</v>
      </c>
    </row>
    <row r="116" spans="1:23" ht="15">
      <c r="A116" s="24">
        <v>12</v>
      </c>
      <c r="B116" s="24"/>
      <c r="C116" s="24">
        <v>1</v>
      </c>
      <c r="D116" s="24"/>
      <c r="E116" s="24">
        <f t="shared" si="23"/>
        <v>0</v>
      </c>
      <c r="G116" s="24">
        <v>12</v>
      </c>
      <c r="H116" s="24"/>
      <c r="I116" s="24">
        <v>10</v>
      </c>
      <c r="J116" s="24"/>
      <c r="K116" s="24">
        <f t="shared" si="24"/>
        <v>0</v>
      </c>
      <c r="M116" s="24">
        <v>12</v>
      </c>
      <c r="N116" s="24"/>
      <c r="O116" s="24">
        <v>20</v>
      </c>
      <c r="P116" s="24"/>
      <c r="Q116" s="24">
        <f t="shared" si="25"/>
        <v>0</v>
      </c>
      <c r="S116" s="24">
        <v>12</v>
      </c>
      <c r="T116" s="24"/>
      <c r="U116" s="24">
        <v>20</v>
      </c>
      <c r="V116" s="24"/>
      <c r="W116" s="24">
        <f t="shared" si="26"/>
        <v>0</v>
      </c>
    </row>
    <row r="117" spans="1:23" s="5" customForma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</row>
    <row r="118" spans="1:23" s="5" customForma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</row>
    <row r="119" spans="1:23" s="5" customForma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</row>
    <row r="120" spans="1:23" ht="19">
      <c r="A120" s="67" t="s">
        <v>136</v>
      </c>
      <c r="B120" s="67"/>
      <c r="C120" s="67"/>
      <c r="D120" s="67"/>
      <c r="E120" s="67"/>
      <c r="G120" s="67" t="s">
        <v>137</v>
      </c>
      <c r="H120" s="67"/>
      <c r="I120" s="67"/>
      <c r="J120" s="67"/>
      <c r="K120" s="67"/>
    </row>
    <row r="121" spans="1:23" ht="15">
      <c r="A121" s="28" t="s">
        <v>110</v>
      </c>
      <c r="B121" s="28" t="s">
        <v>111</v>
      </c>
      <c r="C121" s="28" t="s">
        <v>112</v>
      </c>
      <c r="D121" s="28" t="s">
        <v>113</v>
      </c>
      <c r="E121" s="28" t="s">
        <v>114</v>
      </c>
      <c r="G121" s="28" t="s">
        <v>110</v>
      </c>
      <c r="H121" s="28" t="s">
        <v>111</v>
      </c>
      <c r="I121" s="28" t="s">
        <v>112</v>
      </c>
      <c r="J121" s="28" t="s">
        <v>113</v>
      </c>
      <c r="K121" s="28" t="s">
        <v>114</v>
      </c>
    </row>
    <row r="122" spans="1:23" ht="15">
      <c r="A122" s="28">
        <v>1</v>
      </c>
      <c r="B122" s="28"/>
      <c r="C122" s="28">
        <v>20</v>
      </c>
      <c r="D122" s="28"/>
      <c r="E122" s="28">
        <f t="shared" ref="E122:E133" si="27">(D122-B122)*C122</f>
        <v>0</v>
      </c>
      <c r="G122" s="28">
        <v>1</v>
      </c>
      <c r="H122" s="28"/>
      <c r="I122" s="28">
        <v>20</v>
      </c>
      <c r="J122" s="28"/>
      <c r="K122" s="28">
        <f t="shared" ref="K122:K133" si="28">(J122-H122)*I122</f>
        <v>0</v>
      </c>
    </row>
    <row r="123" spans="1:23" ht="15">
      <c r="A123" s="28">
        <v>2</v>
      </c>
      <c r="B123" s="28"/>
      <c r="C123" s="28">
        <v>20</v>
      </c>
      <c r="D123" s="28"/>
      <c r="E123" s="28">
        <f t="shared" si="27"/>
        <v>0</v>
      </c>
      <c r="G123" s="28">
        <v>2</v>
      </c>
      <c r="H123" s="28"/>
      <c r="I123" s="28">
        <v>20</v>
      </c>
      <c r="J123" s="28"/>
      <c r="K123" s="28">
        <f t="shared" si="28"/>
        <v>0</v>
      </c>
    </row>
    <row r="124" spans="1:23" ht="15">
      <c r="A124" s="28">
        <v>3</v>
      </c>
      <c r="B124" s="28"/>
      <c r="C124" s="28">
        <v>20</v>
      </c>
      <c r="D124" s="28"/>
      <c r="E124" s="28">
        <f t="shared" si="27"/>
        <v>0</v>
      </c>
      <c r="G124" s="28">
        <v>3</v>
      </c>
      <c r="H124" s="28"/>
      <c r="I124" s="28">
        <v>20</v>
      </c>
      <c r="J124" s="28"/>
      <c r="K124" s="28">
        <f t="shared" si="28"/>
        <v>0</v>
      </c>
    </row>
    <row r="125" spans="1:23" ht="15">
      <c r="A125" s="28">
        <v>4</v>
      </c>
      <c r="B125" s="28"/>
      <c r="C125" s="28">
        <v>20</v>
      </c>
      <c r="D125" s="29"/>
      <c r="E125" s="28">
        <f t="shared" si="27"/>
        <v>0</v>
      </c>
      <c r="G125" s="28">
        <v>4</v>
      </c>
      <c r="H125" s="28"/>
      <c r="I125" s="28">
        <v>20</v>
      </c>
      <c r="J125" s="29"/>
      <c r="K125" s="28">
        <f t="shared" si="28"/>
        <v>0</v>
      </c>
    </row>
    <row r="126" spans="1:23" ht="15">
      <c r="A126" s="28">
        <v>5</v>
      </c>
      <c r="B126" s="30"/>
      <c r="C126" s="28">
        <v>20</v>
      </c>
      <c r="D126" s="28"/>
      <c r="E126" s="28">
        <f t="shared" si="27"/>
        <v>0</v>
      </c>
      <c r="G126" s="28">
        <v>5</v>
      </c>
      <c r="H126" s="30"/>
      <c r="I126" s="28">
        <v>20</v>
      </c>
      <c r="J126" s="28"/>
      <c r="K126" s="28">
        <f t="shared" si="28"/>
        <v>0</v>
      </c>
    </row>
    <row r="127" spans="1:23" ht="15">
      <c r="A127" s="28">
        <v>6</v>
      </c>
      <c r="B127" s="28"/>
      <c r="C127" s="28">
        <v>20</v>
      </c>
      <c r="D127" s="28"/>
      <c r="E127" s="28">
        <f t="shared" si="27"/>
        <v>0</v>
      </c>
      <c r="G127" s="28">
        <v>6</v>
      </c>
      <c r="H127" s="28"/>
      <c r="I127" s="28">
        <v>20</v>
      </c>
      <c r="J127" s="28"/>
      <c r="K127" s="28">
        <f t="shared" si="28"/>
        <v>0</v>
      </c>
    </row>
    <row r="128" spans="1:23" ht="15">
      <c r="A128" s="28">
        <v>7</v>
      </c>
      <c r="B128" s="28"/>
      <c r="C128" s="28">
        <v>20</v>
      </c>
      <c r="D128" s="28"/>
      <c r="E128" s="28">
        <f t="shared" si="27"/>
        <v>0</v>
      </c>
      <c r="G128" s="28">
        <v>7</v>
      </c>
      <c r="H128" s="28"/>
      <c r="I128" s="28">
        <v>20</v>
      </c>
      <c r="J128" s="28"/>
      <c r="K128" s="28">
        <f t="shared" si="28"/>
        <v>0</v>
      </c>
    </row>
    <row r="129" spans="1:11" ht="15">
      <c r="A129" s="28">
        <v>8</v>
      </c>
      <c r="B129" s="28"/>
      <c r="C129" s="28">
        <v>20</v>
      </c>
      <c r="D129" s="28"/>
      <c r="E129" s="28">
        <f t="shared" si="27"/>
        <v>0</v>
      </c>
      <c r="G129" s="28">
        <v>8</v>
      </c>
      <c r="H129" s="28"/>
      <c r="I129" s="28">
        <v>20</v>
      </c>
      <c r="J129" s="28"/>
      <c r="K129" s="28">
        <f t="shared" si="28"/>
        <v>0</v>
      </c>
    </row>
    <row r="130" spans="1:11" ht="15">
      <c r="A130" s="28">
        <v>9</v>
      </c>
      <c r="B130" s="28"/>
      <c r="C130" s="28">
        <v>20</v>
      </c>
      <c r="D130" s="28">
        <v>496.83</v>
      </c>
      <c r="E130" s="28">
        <f t="shared" si="27"/>
        <v>9936.6</v>
      </c>
      <c r="G130" s="28">
        <v>9</v>
      </c>
      <c r="H130" s="28"/>
      <c r="I130" s="28">
        <v>20</v>
      </c>
      <c r="J130" s="28">
        <v>10.74</v>
      </c>
      <c r="K130" s="28">
        <f t="shared" si="28"/>
        <v>214.8</v>
      </c>
    </row>
    <row r="131" spans="1:11" ht="15">
      <c r="A131" s="28">
        <v>10</v>
      </c>
      <c r="B131" s="28">
        <v>496.83</v>
      </c>
      <c r="C131" s="28">
        <v>20</v>
      </c>
      <c r="D131" s="28"/>
      <c r="E131" s="28">
        <f t="shared" si="27"/>
        <v>-9936.6</v>
      </c>
      <c r="G131" s="28">
        <v>10</v>
      </c>
      <c r="H131" s="28">
        <v>10.74</v>
      </c>
      <c r="I131" s="28">
        <v>20</v>
      </c>
      <c r="J131" s="28"/>
      <c r="K131" s="28">
        <f t="shared" si="28"/>
        <v>-214.8</v>
      </c>
    </row>
    <row r="132" spans="1:11" ht="15">
      <c r="A132" s="28">
        <v>11</v>
      </c>
      <c r="B132" s="28"/>
      <c r="C132" s="28">
        <v>20</v>
      </c>
      <c r="D132" s="28"/>
      <c r="E132" s="28">
        <f t="shared" si="27"/>
        <v>0</v>
      </c>
      <c r="G132" s="28">
        <v>11</v>
      </c>
      <c r="H132" s="28"/>
      <c r="I132" s="28">
        <v>20</v>
      </c>
      <c r="J132" s="28"/>
      <c r="K132" s="28">
        <f t="shared" si="28"/>
        <v>0</v>
      </c>
    </row>
    <row r="133" spans="1:11" ht="15">
      <c r="A133" s="28">
        <v>12</v>
      </c>
      <c r="B133" s="28"/>
      <c r="C133" s="28">
        <v>20</v>
      </c>
      <c r="D133" s="28"/>
      <c r="E133" s="28">
        <f t="shared" si="27"/>
        <v>0</v>
      </c>
      <c r="G133" s="28">
        <v>12</v>
      </c>
      <c r="H133" s="28"/>
      <c r="I133" s="28">
        <v>20</v>
      </c>
      <c r="J133" s="28"/>
      <c r="K133" s="28">
        <f t="shared" si="28"/>
        <v>0</v>
      </c>
    </row>
  </sheetData>
  <mergeCells count="29">
    <mergeCell ref="A1:E1"/>
    <mergeCell ref="G1:K1"/>
    <mergeCell ref="M1:Q1"/>
    <mergeCell ref="S1:W1"/>
    <mergeCell ref="Y1:AC1"/>
    <mergeCell ref="A18:E18"/>
    <mergeCell ref="G18:K18"/>
    <mergeCell ref="M18:Q18"/>
    <mergeCell ref="S18:W18"/>
    <mergeCell ref="A35:E35"/>
    <mergeCell ref="G35:K35"/>
    <mergeCell ref="M35:Q35"/>
    <mergeCell ref="S35:W35"/>
    <mergeCell ref="Y35:AC35"/>
    <mergeCell ref="A52:E52"/>
    <mergeCell ref="G52:K52"/>
    <mergeCell ref="M52:Q52"/>
    <mergeCell ref="A69:E69"/>
    <mergeCell ref="G69:K69"/>
    <mergeCell ref="M69:Q69"/>
    <mergeCell ref="S103:W103"/>
    <mergeCell ref="A120:E120"/>
    <mergeCell ref="G120:K120"/>
    <mergeCell ref="A86:E86"/>
    <mergeCell ref="G86:K86"/>
    <mergeCell ref="M86:Q86"/>
    <mergeCell ref="A103:E103"/>
    <mergeCell ref="G103:K103"/>
    <mergeCell ref="M103:Q103"/>
  </mergeCells>
  <phoneticPr fontId="1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0.499984740745262"/>
  </sheetPr>
  <dimension ref="A1:E150"/>
  <sheetViews>
    <sheetView workbookViewId="0">
      <selection activeCell="M12" sqref="M12"/>
    </sheetView>
  </sheetViews>
  <sheetFormatPr baseColWidth="10" defaultColWidth="9" defaultRowHeight="14"/>
  <cols>
    <col min="1" max="5" width="15.6640625" customWidth="1"/>
  </cols>
  <sheetData>
    <row r="1" spans="1:5" ht="40" customHeight="1">
      <c r="A1" s="77" t="s">
        <v>138</v>
      </c>
      <c r="B1" s="77"/>
      <c r="C1" s="77"/>
      <c r="D1" s="77"/>
      <c r="E1" s="77"/>
    </row>
    <row r="2" spans="1:5" ht="20" customHeight="1">
      <c r="A2" s="1" t="s">
        <v>110</v>
      </c>
      <c r="B2" s="1" t="s">
        <v>111</v>
      </c>
      <c r="C2" s="1" t="s">
        <v>112</v>
      </c>
      <c r="D2" s="1" t="s">
        <v>113</v>
      </c>
      <c r="E2" s="1" t="s">
        <v>114</v>
      </c>
    </row>
    <row r="3" spans="1:5" ht="20" customHeight="1">
      <c r="A3" s="1">
        <v>1</v>
      </c>
      <c r="B3" s="1"/>
      <c r="C3" s="1">
        <v>20</v>
      </c>
      <c r="D3" s="1"/>
      <c r="E3" s="1">
        <f t="shared" ref="E3:E14" si="0">(D3-B3)*C3</f>
        <v>0</v>
      </c>
    </row>
    <row r="4" spans="1:5" ht="20" customHeight="1">
      <c r="A4" s="1">
        <v>2</v>
      </c>
      <c r="B4" s="1"/>
      <c r="C4" s="1">
        <v>20</v>
      </c>
      <c r="D4" s="1"/>
      <c r="E4" s="1">
        <f t="shared" si="0"/>
        <v>0</v>
      </c>
    </row>
    <row r="5" spans="1:5" ht="20" customHeight="1">
      <c r="A5" s="1">
        <v>3</v>
      </c>
      <c r="B5" s="1"/>
      <c r="C5" s="1">
        <v>20</v>
      </c>
      <c r="D5" s="1"/>
      <c r="E5" s="1">
        <f t="shared" si="0"/>
        <v>0</v>
      </c>
    </row>
    <row r="6" spans="1:5" ht="20" customHeight="1">
      <c r="A6" s="1">
        <v>4</v>
      </c>
      <c r="B6" s="1"/>
      <c r="C6" s="1">
        <v>20</v>
      </c>
      <c r="D6" s="2"/>
      <c r="E6" s="1">
        <f t="shared" si="0"/>
        <v>0</v>
      </c>
    </row>
    <row r="7" spans="1:5" ht="20" customHeight="1">
      <c r="A7" s="1">
        <v>5</v>
      </c>
      <c r="B7" s="1">
        <v>14110.9</v>
      </c>
      <c r="C7" s="1">
        <v>20</v>
      </c>
      <c r="D7" s="1">
        <v>14247.77</v>
      </c>
      <c r="E7" s="1">
        <f t="shared" si="0"/>
        <v>2737.400000000016</v>
      </c>
    </row>
    <row r="8" spans="1:5" ht="20" customHeight="1">
      <c r="A8" s="1">
        <v>6</v>
      </c>
      <c r="B8" s="1">
        <v>14247.77</v>
      </c>
      <c r="C8" s="1">
        <v>20</v>
      </c>
      <c r="D8" s="1">
        <v>14307.91</v>
      </c>
      <c r="E8" s="1">
        <f t="shared" si="0"/>
        <v>1202.7999999999884</v>
      </c>
    </row>
    <row r="9" spans="1:5" ht="20" customHeight="1">
      <c r="A9" s="1">
        <v>7</v>
      </c>
      <c r="B9" s="1">
        <v>14307.91</v>
      </c>
      <c r="C9" s="1">
        <v>20</v>
      </c>
      <c r="D9" s="1">
        <v>14473.96</v>
      </c>
      <c r="E9" s="1">
        <f t="shared" si="0"/>
        <v>3320.9999999999854</v>
      </c>
    </row>
    <row r="10" spans="1:5" ht="20" customHeight="1">
      <c r="A10" s="1">
        <v>8</v>
      </c>
      <c r="B10" s="1">
        <v>14473.96</v>
      </c>
      <c r="C10" s="1">
        <v>20</v>
      </c>
      <c r="D10" s="1">
        <v>14565.36</v>
      </c>
      <c r="E10" s="1">
        <f t="shared" si="0"/>
        <v>1828.0000000000291</v>
      </c>
    </row>
    <row r="11" spans="1:5" ht="20" customHeight="1">
      <c r="A11" s="1">
        <v>9</v>
      </c>
      <c r="B11" s="1"/>
      <c r="C11" s="1">
        <v>20</v>
      </c>
      <c r="D11" s="1"/>
      <c r="E11" s="1">
        <f t="shared" si="0"/>
        <v>0</v>
      </c>
    </row>
    <row r="12" spans="1:5" ht="20" customHeight="1">
      <c r="A12" s="1">
        <v>10</v>
      </c>
      <c r="B12" s="1"/>
      <c r="C12" s="1">
        <v>20</v>
      </c>
      <c r="D12" s="1"/>
      <c r="E12" s="1">
        <f t="shared" si="0"/>
        <v>0</v>
      </c>
    </row>
    <row r="13" spans="1:5" ht="20" customHeight="1">
      <c r="A13" s="1">
        <v>11</v>
      </c>
      <c r="B13" s="1"/>
      <c r="C13" s="1">
        <v>20</v>
      </c>
      <c r="D13" s="1"/>
      <c r="E13" s="1">
        <f t="shared" si="0"/>
        <v>0</v>
      </c>
    </row>
    <row r="14" spans="1:5" ht="20" customHeight="1">
      <c r="A14" s="1">
        <v>12</v>
      </c>
      <c r="B14" s="1"/>
      <c r="C14" s="1">
        <v>20</v>
      </c>
      <c r="D14" s="1"/>
      <c r="E14" s="1">
        <f t="shared" si="0"/>
        <v>0</v>
      </c>
    </row>
    <row r="18" spans="1:5" ht="40" customHeight="1">
      <c r="A18" s="77" t="s">
        <v>139</v>
      </c>
      <c r="B18" s="77"/>
      <c r="C18" s="77"/>
      <c r="D18" s="77"/>
      <c r="E18" s="77"/>
    </row>
    <row r="19" spans="1:5" ht="20" customHeight="1">
      <c r="A19" s="1" t="s">
        <v>110</v>
      </c>
      <c r="B19" s="1" t="s">
        <v>111</v>
      </c>
      <c r="C19" s="1" t="s">
        <v>112</v>
      </c>
      <c r="D19" s="1" t="s">
        <v>113</v>
      </c>
      <c r="E19" s="1" t="s">
        <v>114</v>
      </c>
    </row>
    <row r="20" spans="1:5" ht="20" customHeight="1">
      <c r="A20" s="1">
        <v>1</v>
      </c>
      <c r="B20" s="1"/>
      <c r="C20" s="1">
        <v>20</v>
      </c>
      <c r="D20" s="1"/>
      <c r="E20" s="1">
        <f t="shared" ref="E20:E31" si="1">(D20-B20)*C20</f>
        <v>0</v>
      </c>
    </row>
    <row r="21" spans="1:5" ht="20" customHeight="1">
      <c r="A21" s="1">
        <v>2</v>
      </c>
      <c r="B21" s="1"/>
      <c r="C21" s="1">
        <v>20</v>
      </c>
      <c r="D21" s="1"/>
      <c r="E21" s="1">
        <f t="shared" si="1"/>
        <v>0</v>
      </c>
    </row>
    <row r="22" spans="1:5" ht="20" customHeight="1">
      <c r="A22" s="1">
        <v>3</v>
      </c>
      <c r="B22" s="1"/>
      <c r="C22" s="1">
        <v>20</v>
      </c>
      <c r="D22" s="1"/>
      <c r="E22" s="1">
        <f t="shared" si="1"/>
        <v>0</v>
      </c>
    </row>
    <row r="23" spans="1:5" ht="20" customHeight="1">
      <c r="A23" s="1">
        <v>4</v>
      </c>
      <c r="B23" s="1"/>
      <c r="C23" s="1">
        <v>20</v>
      </c>
      <c r="D23" s="3"/>
      <c r="E23" s="1">
        <f t="shared" si="1"/>
        <v>0</v>
      </c>
    </row>
    <row r="24" spans="1:5" ht="20" customHeight="1">
      <c r="A24" s="1">
        <v>5</v>
      </c>
      <c r="B24" s="1">
        <v>7135.24</v>
      </c>
      <c r="C24" s="1">
        <v>20</v>
      </c>
      <c r="D24" s="1">
        <v>7145.25</v>
      </c>
      <c r="E24" s="1">
        <f t="shared" si="1"/>
        <v>200.20000000000437</v>
      </c>
    </row>
    <row r="25" spans="1:5" ht="20" customHeight="1">
      <c r="A25" s="1">
        <v>6</v>
      </c>
      <c r="B25" s="1">
        <v>7145.25</v>
      </c>
      <c r="C25" s="1">
        <v>20</v>
      </c>
      <c r="D25" s="1">
        <v>7188.98</v>
      </c>
      <c r="E25" s="1">
        <f t="shared" si="1"/>
        <v>874.59999999999127</v>
      </c>
    </row>
    <row r="26" spans="1:5" ht="20" customHeight="1">
      <c r="A26" s="1">
        <v>7</v>
      </c>
      <c r="B26" s="1">
        <v>7188.98</v>
      </c>
      <c r="C26" s="1">
        <v>20</v>
      </c>
      <c r="D26" s="1">
        <v>7301.62</v>
      </c>
      <c r="E26" s="1">
        <f t="shared" si="1"/>
        <v>2252.8000000000065</v>
      </c>
    </row>
    <row r="27" spans="1:5" ht="20" customHeight="1">
      <c r="A27" s="1">
        <v>8</v>
      </c>
      <c r="B27" s="1">
        <v>7301.62</v>
      </c>
      <c r="C27" s="1">
        <v>20</v>
      </c>
      <c r="D27" s="1">
        <v>7344.18</v>
      </c>
      <c r="E27" s="1">
        <f t="shared" si="1"/>
        <v>851.200000000008</v>
      </c>
    </row>
    <row r="28" spans="1:5" ht="20" customHeight="1">
      <c r="A28" s="1">
        <v>9</v>
      </c>
      <c r="B28" s="1"/>
      <c r="C28" s="1">
        <v>20</v>
      </c>
      <c r="D28" s="1"/>
      <c r="E28" s="1">
        <f t="shared" si="1"/>
        <v>0</v>
      </c>
    </row>
    <row r="29" spans="1:5" ht="20" customHeight="1">
      <c r="A29" s="1">
        <v>10</v>
      </c>
      <c r="B29" s="1"/>
      <c r="C29" s="1">
        <v>20</v>
      </c>
      <c r="D29" s="1"/>
      <c r="E29" s="1">
        <f t="shared" si="1"/>
        <v>0</v>
      </c>
    </row>
    <row r="30" spans="1:5" ht="20" customHeight="1">
      <c r="A30" s="1">
        <v>11</v>
      </c>
      <c r="B30" s="1"/>
      <c r="C30" s="1">
        <v>20</v>
      </c>
      <c r="D30" s="1"/>
      <c r="E30" s="1">
        <f t="shared" si="1"/>
        <v>0</v>
      </c>
    </row>
    <row r="31" spans="1:5" ht="20" customHeight="1">
      <c r="A31" s="1">
        <v>12</v>
      </c>
      <c r="B31" s="1"/>
      <c r="C31" s="1">
        <v>20</v>
      </c>
      <c r="D31" s="1"/>
      <c r="E31" s="1">
        <f t="shared" si="1"/>
        <v>0</v>
      </c>
    </row>
    <row r="35" spans="1:5" ht="40" customHeight="1">
      <c r="A35" s="77" t="s">
        <v>140</v>
      </c>
      <c r="B35" s="77"/>
      <c r="C35" s="77"/>
      <c r="D35" s="77"/>
      <c r="E35" s="77"/>
    </row>
    <row r="36" spans="1:5" ht="20" customHeight="1">
      <c r="A36" s="1" t="s">
        <v>110</v>
      </c>
      <c r="B36" s="1" t="s">
        <v>111</v>
      </c>
      <c r="C36" s="1" t="s">
        <v>112</v>
      </c>
      <c r="D36" s="1" t="s">
        <v>113</v>
      </c>
      <c r="E36" s="1" t="s">
        <v>114</v>
      </c>
    </row>
    <row r="37" spans="1:5" ht="20" customHeight="1">
      <c r="A37" s="1">
        <v>1</v>
      </c>
      <c r="B37" s="1"/>
      <c r="C37" s="1">
        <v>20</v>
      </c>
      <c r="D37" s="1"/>
      <c r="E37" s="1">
        <f t="shared" ref="E37:E48" si="2">(D37-B37)*C37</f>
        <v>0</v>
      </c>
    </row>
    <row r="38" spans="1:5" ht="20" customHeight="1">
      <c r="A38" s="1">
        <v>2</v>
      </c>
      <c r="B38" s="1"/>
      <c r="C38" s="1">
        <v>20</v>
      </c>
      <c r="D38" s="1"/>
      <c r="E38" s="1">
        <f t="shared" si="2"/>
        <v>0</v>
      </c>
    </row>
    <row r="39" spans="1:5" ht="20" customHeight="1">
      <c r="A39" s="1">
        <v>3</v>
      </c>
      <c r="B39" s="1"/>
      <c r="C39" s="1">
        <v>20</v>
      </c>
      <c r="D39" s="1"/>
      <c r="E39" s="1">
        <f t="shared" si="2"/>
        <v>0</v>
      </c>
    </row>
    <row r="40" spans="1:5" ht="20" customHeight="1">
      <c r="A40" s="1">
        <v>4</v>
      </c>
      <c r="B40" s="1"/>
      <c r="C40" s="1">
        <v>20</v>
      </c>
      <c r="D40" s="4"/>
      <c r="E40" s="1">
        <f t="shared" si="2"/>
        <v>0</v>
      </c>
    </row>
    <row r="41" spans="1:5" ht="20" customHeight="1">
      <c r="A41" s="1">
        <v>5</v>
      </c>
      <c r="B41" s="1">
        <v>11269.96</v>
      </c>
      <c r="C41" s="1">
        <v>20</v>
      </c>
      <c r="D41" s="1">
        <v>11305.7</v>
      </c>
      <c r="E41" s="1">
        <f t="shared" si="2"/>
        <v>714.80000000003201</v>
      </c>
    </row>
    <row r="42" spans="1:5" ht="20" customHeight="1">
      <c r="A42" s="1">
        <v>6</v>
      </c>
      <c r="B42" s="1">
        <v>11305.7</v>
      </c>
      <c r="C42" s="1">
        <v>20</v>
      </c>
      <c r="D42" s="1">
        <v>11449.67</v>
      </c>
      <c r="E42" s="1">
        <f t="shared" si="2"/>
        <v>2879.3999999999869</v>
      </c>
    </row>
    <row r="43" spans="1:5" ht="20" customHeight="1">
      <c r="A43" s="1">
        <v>7</v>
      </c>
      <c r="B43" s="1">
        <v>11449.67</v>
      </c>
      <c r="C43" s="1">
        <v>20</v>
      </c>
      <c r="D43" s="1">
        <v>11731.81</v>
      </c>
      <c r="E43" s="1">
        <f t="shared" si="2"/>
        <v>5642.7999999999884</v>
      </c>
    </row>
    <row r="44" spans="1:5" ht="20" customHeight="1">
      <c r="A44" s="1">
        <v>8</v>
      </c>
      <c r="B44" s="1">
        <v>11731.81</v>
      </c>
      <c r="C44" s="1">
        <v>20</v>
      </c>
      <c r="D44" s="1">
        <v>11936.81</v>
      </c>
      <c r="E44" s="1">
        <f t="shared" si="2"/>
        <v>4100</v>
      </c>
    </row>
    <row r="45" spans="1:5" ht="20" customHeight="1">
      <c r="A45" s="1">
        <v>9</v>
      </c>
      <c r="B45" s="1"/>
      <c r="C45" s="1">
        <v>20</v>
      </c>
      <c r="D45" s="1"/>
      <c r="E45" s="1">
        <f t="shared" si="2"/>
        <v>0</v>
      </c>
    </row>
    <row r="46" spans="1:5" ht="20" customHeight="1">
      <c r="A46" s="1">
        <v>10</v>
      </c>
      <c r="B46" s="1"/>
      <c r="C46" s="1">
        <v>20</v>
      </c>
      <c r="D46" s="1"/>
      <c r="E46" s="1">
        <f t="shared" si="2"/>
        <v>0</v>
      </c>
    </row>
    <row r="47" spans="1:5" ht="20" customHeight="1">
      <c r="A47" s="1">
        <v>11</v>
      </c>
      <c r="B47" s="1"/>
      <c r="C47" s="1">
        <v>20</v>
      </c>
      <c r="D47" s="1"/>
      <c r="E47" s="1">
        <f t="shared" si="2"/>
        <v>0</v>
      </c>
    </row>
    <row r="48" spans="1:5" ht="20" customHeight="1">
      <c r="A48" s="1">
        <v>12</v>
      </c>
      <c r="B48" s="1"/>
      <c r="C48" s="1">
        <v>20</v>
      </c>
      <c r="D48" s="1"/>
      <c r="E48" s="1">
        <f t="shared" si="2"/>
        <v>0</v>
      </c>
    </row>
    <row r="52" spans="1:5" ht="40" customHeight="1">
      <c r="A52" s="76" t="s">
        <v>141</v>
      </c>
      <c r="B52" s="76"/>
      <c r="C52" s="76"/>
      <c r="D52" s="76"/>
      <c r="E52" s="76"/>
    </row>
    <row r="53" spans="1:5" ht="20" customHeight="1">
      <c r="A53" s="1" t="s">
        <v>110</v>
      </c>
      <c r="B53" s="1" t="s">
        <v>111</v>
      </c>
      <c r="C53" s="1" t="s">
        <v>112</v>
      </c>
      <c r="D53" s="1" t="s">
        <v>113</v>
      </c>
      <c r="E53" s="1" t="s">
        <v>114</v>
      </c>
    </row>
    <row r="54" spans="1:5" ht="20" customHeight="1">
      <c r="A54" s="1">
        <v>1</v>
      </c>
      <c r="B54" s="1"/>
      <c r="C54" s="1">
        <v>20</v>
      </c>
      <c r="D54" s="1"/>
      <c r="E54" s="1">
        <f t="shared" ref="E54:E65" si="3">(D54-B54)*C54</f>
        <v>0</v>
      </c>
    </row>
    <row r="55" spans="1:5" ht="20" customHeight="1">
      <c r="A55" s="1">
        <v>2</v>
      </c>
      <c r="B55" s="1"/>
      <c r="C55" s="1">
        <v>20</v>
      </c>
      <c r="D55" s="1"/>
      <c r="E55" s="1">
        <f t="shared" si="3"/>
        <v>0</v>
      </c>
    </row>
    <row r="56" spans="1:5" ht="20" customHeight="1">
      <c r="A56" s="1">
        <v>3</v>
      </c>
      <c r="B56" s="1"/>
      <c r="C56" s="1">
        <v>20</v>
      </c>
      <c r="D56" s="1"/>
      <c r="E56" s="1">
        <f t="shared" si="3"/>
        <v>0</v>
      </c>
    </row>
    <row r="57" spans="1:5" ht="20" customHeight="1">
      <c r="A57" s="1">
        <v>4</v>
      </c>
      <c r="B57" s="1"/>
      <c r="C57" s="1">
        <v>20</v>
      </c>
      <c r="D57" s="4"/>
      <c r="E57" s="1">
        <f t="shared" si="3"/>
        <v>0</v>
      </c>
    </row>
    <row r="58" spans="1:5" ht="20" customHeight="1">
      <c r="A58" s="1">
        <v>5</v>
      </c>
      <c r="B58" s="1">
        <v>5640.39</v>
      </c>
      <c r="C58" s="1">
        <v>20</v>
      </c>
      <c r="D58" s="1">
        <v>5653.18</v>
      </c>
      <c r="E58" s="1">
        <f t="shared" si="3"/>
        <v>255.79999999999927</v>
      </c>
    </row>
    <row r="59" spans="1:5" ht="20" customHeight="1">
      <c r="A59" s="1">
        <v>6</v>
      </c>
      <c r="B59" s="1">
        <v>5653.18</v>
      </c>
      <c r="C59" s="1">
        <v>20</v>
      </c>
      <c r="D59" s="1">
        <v>5654.06</v>
      </c>
      <c r="E59" s="1">
        <f t="shared" si="3"/>
        <v>17.600000000002183</v>
      </c>
    </row>
    <row r="60" spans="1:5" ht="20" customHeight="1">
      <c r="A60" s="1">
        <v>7</v>
      </c>
      <c r="B60" s="1">
        <v>5654.06</v>
      </c>
      <c r="C60" s="1">
        <v>20</v>
      </c>
      <c r="D60" s="1">
        <v>5683.15</v>
      </c>
      <c r="E60" s="1">
        <f t="shared" si="3"/>
        <v>581.79999999998472</v>
      </c>
    </row>
    <row r="61" spans="1:5" ht="20" customHeight="1">
      <c r="A61" s="1">
        <v>8</v>
      </c>
      <c r="B61" s="1">
        <v>5683.15</v>
      </c>
      <c r="C61" s="1">
        <v>20</v>
      </c>
      <c r="D61" s="1">
        <v>5810.82</v>
      </c>
      <c r="E61" s="1">
        <f t="shared" si="3"/>
        <v>2553.4000000000015</v>
      </c>
    </row>
    <row r="62" spans="1:5" ht="20" customHeight="1">
      <c r="A62" s="1">
        <v>9</v>
      </c>
      <c r="B62" s="1"/>
      <c r="C62" s="1">
        <v>20</v>
      </c>
      <c r="D62" s="1"/>
      <c r="E62" s="1">
        <f t="shared" si="3"/>
        <v>0</v>
      </c>
    </row>
    <row r="63" spans="1:5" ht="20" customHeight="1">
      <c r="A63" s="1">
        <v>10</v>
      </c>
      <c r="B63" s="1"/>
      <c r="C63" s="1">
        <v>20</v>
      </c>
      <c r="D63" s="1"/>
      <c r="E63" s="1">
        <f t="shared" si="3"/>
        <v>0</v>
      </c>
    </row>
    <row r="64" spans="1:5" ht="20" customHeight="1">
      <c r="A64" s="1">
        <v>11</v>
      </c>
      <c r="B64" s="1"/>
      <c r="C64" s="1">
        <v>20</v>
      </c>
      <c r="D64" s="1"/>
      <c r="E64" s="1">
        <f t="shared" si="3"/>
        <v>0</v>
      </c>
    </row>
    <row r="65" spans="1:5" ht="20" customHeight="1">
      <c r="A65" s="1">
        <v>12</v>
      </c>
      <c r="B65" s="1"/>
      <c r="C65" s="1">
        <v>20</v>
      </c>
      <c r="D65" s="1"/>
      <c r="E65" s="1">
        <f t="shared" si="3"/>
        <v>0</v>
      </c>
    </row>
    <row r="69" spans="1:5" ht="19">
      <c r="A69" s="76" t="s">
        <v>142</v>
      </c>
      <c r="B69" s="76"/>
      <c r="C69" s="76"/>
      <c r="D69" s="76"/>
      <c r="E69" s="76"/>
    </row>
    <row r="70" spans="1:5" ht="15">
      <c r="A70" s="1" t="s">
        <v>110</v>
      </c>
      <c r="B70" s="1" t="s">
        <v>111</v>
      </c>
      <c r="C70" s="1" t="s">
        <v>112</v>
      </c>
      <c r="D70" s="1" t="s">
        <v>113</v>
      </c>
      <c r="E70" s="1" t="s">
        <v>114</v>
      </c>
    </row>
    <row r="71" spans="1:5" ht="15">
      <c r="A71" s="1">
        <v>1</v>
      </c>
      <c r="B71" s="1"/>
      <c r="C71" s="1">
        <v>20</v>
      </c>
      <c r="D71" s="1"/>
      <c r="E71" s="1">
        <f t="shared" ref="E71:E82" si="4">(D71-B71)*C71</f>
        <v>0</v>
      </c>
    </row>
    <row r="72" spans="1:5" ht="15">
      <c r="A72" s="1">
        <v>2</v>
      </c>
      <c r="B72" s="1"/>
      <c r="C72" s="1">
        <v>20</v>
      </c>
      <c r="D72" s="1"/>
      <c r="E72" s="1">
        <f t="shared" si="4"/>
        <v>0</v>
      </c>
    </row>
    <row r="73" spans="1:5" ht="15">
      <c r="A73" s="1">
        <v>3</v>
      </c>
      <c r="B73" s="1"/>
      <c r="C73" s="1">
        <v>20</v>
      </c>
      <c r="D73" s="1"/>
      <c r="E73" s="1">
        <f t="shared" si="4"/>
        <v>0</v>
      </c>
    </row>
    <row r="74" spans="1:5" ht="15">
      <c r="A74" s="1">
        <v>4</v>
      </c>
      <c r="B74" s="1"/>
      <c r="C74" s="1">
        <v>20</v>
      </c>
      <c r="D74" s="4"/>
      <c r="E74" s="1">
        <f t="shared" si="4"/>
        <v>0</v>
      </c>
    </row>
    <row r="75" spans="1:5" ht="15">
      <c r="A75" s="1">
        <v>5</v>
      </c>
      <c r="B75" s="1">
        <v>4161.01</v>
      </c>
      <c r="C75" s="1">
        <v>20</v>
      </c>
      <c r="D75" s="1">
        <v>4184.04</v>
      </c>
      <c r="E75" s="1">
        <f t="shared" si="4"/>
        <v>460.59999999999491</v>
      </c>
    </row>
    <row r="76" spans="1:5" ht="15">
      <c r="A76" s="1">
        <v>6</v>
      </c>
      <c r="B76" s="1">
        <v>4184.04</v>
      </c>
      <c r="C76" s="1">
        <v>20</v>
      </c>
      <c r="D76" s="1">
        <v>4185.1099999999997</v>
      </c>
      <c r="E76" s="1">
        <f t="shared" si="4"/>
        <v>21.399999999994179</v>
      </c>
    </row>
    <row r="77" spans="1:5" ht="15">
      <c r="A77" s="1">
        <v>7</v>
      </c>
      <c r="B77" s="1">
        <v>4185.1099999999997</v>
      </c>
      <c r="C77" s="1">
        <v>20</v>
      </c>
      <c r="D77" s="1">
        <v>4186.6000000000004</v>
      </c>
      <c r="E77" s="1">
        <f t="shared" si="4"/>
        <v>29.800000000013824</v>
      </c>
    </row>
    <row r="78" spans="1:5" ht="15">
      <c r="A78" s="1">
        <v>8</v>
      </c>
      <c r="B78" s="1">
        <v>4186.6000000000004</v>
      </c>
      <c r="C78" s="1">
        <v>20</v>
      </c>
      <c r="D78" s="1">
        <v>4192.3599999999997</v>
      </c>
      <c r="E78" s="1">
        <f t="shared" si="4"/>
        <v>115.19999999998618</v>
      </c>
    </row>
    <row r="79" spans="1:5" ht="15">
      <c r="A79" s="1">
        <v>9</v>
      </c>
      <c r="B79" s="1"/>
      <c r="C79" s="1">
        <v>20</v>
      </c>
      <c r="D79" s="1"/>
      <c r="E79" s="1">
        <f t="shared" si="4"/>
        <v>0</v>
      </c>
    </row>
    <row r="80" spans="1:5" ht="15">
      <c r="A80" s="1">
        <v>10</v>
      </c>
      <c r="B80" s="1"/>
      <c r="C80" s="1">
        <v>20</v>
      </c>
      <c r="D80" s="1"/>
      <c r="E80" s="1">
        <f t="shared" si="4"/>
        <v>0</v>
      </c>
    </row>
    <row r="81" spans="1:5" ht="15">
      <c r="A81" s="1">
        <v>11</v>
      </c>
      <c r="B81" s="1"/>
      <c r="C81" s="1">
        <v>20</v>
      </c>
      <c r="D81" s="1"/>
      <c r="E81" s="1">
        <f t="shared" si="4"/>
        <v>0</v>
      </c>
    </row>
    <row r="82" spans="1:5" ht="15">
      <c r="A82" s="1">
        <v>12</v>
      </c>
      <c r="B82" s="1"/>
      <c r="C82" s="1">
        <v>20</v>
      </c>
      <c r="D82" s="1"/>
      <c r="E82" s="1">
        <f t="shared" si="4"/>
        <v>0</v>
      </c>
    </row>
    <row r="86" spans="1:5" ht="19">
      <c r="A86" s="76" t="s">
        <v>143</v>
      </c>
      <c r="B86" s="76"/>
      <c r="C86" s="76"/>
      <c r="D86" s="76"/>
      <c r="E86" s="76"/>
    </row>
    <row r="87" spans="1:5" ht="15">
      <c r="A87" s="1" t="s">
        <v>110</v>
      </c>
      <c r="B87" s="1" t="s">
        <v>111</v>
      </c>
      <c r="C87" s="1" t="s">
        <v>112</v>
      </c>
      <c r="D87" s="1" t="s">
        <v>113</v>
      </c>
      <c r="E87" s="1" t="s">
        <v>114</v>
      </c>
    </row>
    <row r="88" spans="1:5" ht="15">
      <c r="A88" s="1">
        <v>1</v>
      </c>
      <c r="B88" s="1"/>
      <c r="C88" s="1">
        <v>20</v>
      </c>
      <c r="D88" s="1"/>
      <c r="E88" s="1">
        <f t="shared" ref="E88:E99" si="5">(D88-B88)*C88</f>
        <v>0</v>
      </c>
    </row>
    <row r="89" spans="1:5" ht="15">
      <c r="A89" s="1">
        <v>2</v>
      </c>
      <c r="B89" s="1"/>
      <c r="C89" s="1">
        <v>20</v>
      </c>
      <c r="D89" s="1"/>
      <c r="E89" s="1">
        <f t="shared" si="5"/>
        <v>0</v>
      </c>
    </row>
    <row r="90" spans="1:5" ht="15">
      <c r="A90" s="1">
        <v>3</v>
      </c>
      <c r="B90" s="1"/>
      <c r="C90" s="1">
        <v>20</v>
      </c>
      <c r="D90" s="1"/>
      <c r="E90" s="1">
        <f t="shared" si="5"/>
        <v>0</v>
      </c>
    </row>
    <row r="91" spans="1:5" ht="15">
      <c r="A91" s="1">
        <v>4</v>
      </c>
      <c r="B91" s="1"/>
      <c r="C91" s="1">
        <v>20</v>
      </c>
      <c r="D91" s="4"/>
      <c r="E91" s="1">
        <f t="shared" si="5"/>
        <v>0</v>
      </c>
    </row>
    <row r="92" spans="1:5" ht="15">
      <c r="A92" s="1">
        <v>5</v>
      </c>
      <c r="B92" s="1">
        <v>3176.38</v>
      </c>
      <c r="C92" s="1">
        <v>20</v>
      </c>
      <c r="D92" s="1">
        <v>3203.23</v>
      </c>
      <c r="E92" s="1">
        <f t="shared" si="5"/>
        <v>536.99999999999818</v>
      </c>
    </row>
    <row r="93" spans="1:5" ht="15">
      <c r="A93" s="1">
        <v>6</v>
      </c>
      <c r="B93" s="1">
        <v>3203.23</v>
      </c>
      <c r="C93" s="1">
        <v>20</v>
      </c>
      <c r="D93" s="1">
        <v>3204.35</v>
      </c>
      <c r="E93" s="1">
        <f t="shared" si="5"/>
        <v>22.399999999997817</v>
      </c>
    </row>
    <row r="94" spans="1:5" ht="15">
      <c r="A94" s="1">
        <v>7</v>
      </c>
      <c r="B94" s="1">
        <v>3204.35</v>
      </c>
      <c r="C94" s="1">
        <v>20</v>
      </c>
      <c r="D94" s="1">
        <v>3212.01</v>
      </c>
      <c r="E94" s="1">
        <f t="shared" si="5"/>
        <v>153.20000000000618</v>
      </c>
    </row>
    <row r="95" spans="1:5" ht="15">
      <c r="A95" s="1">
        <v>8</v>
      </c>
      <c r="B95" s="1">
        <v>3212.01</v>
      </c>
      <c r="C95" s="1">
        <v>20</v>
      </c>
      <c r="D95" s="1">
        <v>3212.01</v>
      </c>
      <c r="E95" s="1">
        <f t="shared" si="5"/>
        <v>0</v>
      </c>
    </row>
    <row r="96" spans="1:5" ht="15">
      <c r="A96" s="1">
        <v>9</v>
      </c>
      <c r="B96" s="1"/>
      <c r="C96" s="1">
        <v>20</v>
      </c>
      <c r="D96" s="1"/>
      <c r="E96" s="1">
        <f t="shared" si="5"/>
        <v>0</v>
      </c>
    </row>
    <row r="97" spans="1:5" ht="15">
      <c r="A97" s="1">
        <v>10</v>
      </c>
      <c r="B97" s="1"/>
      <c r="C97" s="1">
        <v>20</v>
      </c>
      <c r="D97" s="1"/>
      <c r="E97" s="1">
        <f t="shared" si="5"/>
        <v>0</v>
      </c>
    </row>
    <row r="98" spans="1:5" ht="15">
      <c r="A98" s="1">
        <v>11</v>
      </c>
      <c r="B98" s="1"/>
      <c r="C98" s="1">
        <v>20</v>
      </c>
      <c r="D98" s="1"/>
      <c r="E98" s="1">
        <f t="shared" si="5"/>
        <v>0</v>
      </c>
    </row>
    <row r="99" spans="1:5" ht="15">
      <c r="A99" s="1">
        <v>12</v>
      </c>
      <c r="B99" s="1"/>
      <c r="C99" s="1">
        <v>20</v>
      </c>
      <c r="D99" s="1"/>
      <c r="E99" s="1">
        <f t="shared" si="5"/>
        <v>0</v>
      </c>
    </row>
    <row r="103" spans="1:5" ht="19">
      <c r="A103" s="76" t="s">
        <v>144</v>
      </c>
      <c r="B103" s="76"/>
      <c r="C103" s="76"/>
      <c r="D103" s="76"/>
      <c r="E103" s="76"/>
    </row>
    <row r="104" spans="1:5" ht="15">
      <c r="A104" s="1" t="s">
        <v>110</v>
      </c>
      <c r="B104" s="1" t="s">
        <v>111</v>
      </c>
      <c r="C104" s="1" t="s">
        <v>112</v>
      </c>
      <c r="D104" s="1" t="s">
        <v>113</v>
      </c>
      <c r="E104" s="1" t="s">
        <v>114</v>
      </c>
    </row>
    <row r="105" spans="1:5" ht="15">
      <c r="A105" s="1">
        <v>1</v>
      </c>
      <c r="B105" s="1"/>
      <c r="C105" s="1">
        <v>20</v>
      </c>
      <c r="D105" s="1"/>
      <c r="E105" s="1">
        <f t="shared" ref="E105:E116" si="6">(D105-B105)*C105</f>
        <v>0</v>
      </c>
    </row>
    <row r="106" spans="1:5" ht="15">
      <c r="A106" s="1">
        <v>2</v>
      </c>
      <c r="B106" s="1"/>
      <c r="C106" s="1">
        <v>20</v>
      </c>
      <c r="D106" s="1"/>
      <c r="E106" s="1">
        <f t="shared" si="6"/>
        <v>0</v>
      </c>
    </row>
    <row r="107" spans="1:5" ht="15">
      <c r="A107" s="1">
        <v>3</v>
      </c>
      <c r="B107" s="1"/>
      <c r="C107" s="1">
        <v>20</v>
      </c>
      <c r="D107" s="1"/>
      <c r="E107" s="1">
        <f t="shared" si="6"/>
        <v>0</v>
      </c>
    </row>
    <row r="108" spans="1:5" ht="15">
      <c r="A108" s="1">
        <v>4</v>
      </c>
      <c r="B108" s="1"/>
      <c r="C108" s="1">
        <v>20</v>
      </c>
      <c r="D108" s="4"/>
      <c r="E108" s="1">
        <f t="shared" si="6"/>
        <v>0</v>
      </c>
    </row>
    <row r="109" spans="1:5" ht="15">
      <c r="A109" s="1">
        <v>5</v>
      </c>
      <c r="B109" s="1">
        <v>4391.67</v>
      </c>
      <c r="C109" s="1">
        <v>20</v>
      </c>
      <c r="D109" s="1">
        <v>4416.8900000000003</v>
      </c>
      <c r="E109" s="1">
        <f t="shared" si="6"/>
        <v>504.40000000000509</v>
      </c>
    </row>
    <row r="110" spans="1:5" ht="15">
      <c r="A110" s="1">
        <v>6</v>
      </c>
      <c r="B110" s="1">
        <v>4416.8900000000003</v>
      </c>
      <c r="C110" s="1">
        <v>20</v>
      </c>
      <c r="D110" s="1">
        <v>4417.87</v>
      </c>
      <c r="E110" s="1">
        <f t="shared" si="6"/>
        <v>19.599999999991269</v>
      </c>
    </row>
    <row r="111" spans="1:5" ht="15">
      <c r="A111" s="1">
        <v>7</v>
      </c>
      <c r="B111" s="1">
        <v>4417.87</v>
      </c>
      <c r="C111" s="1">
        <v>20</v>
      </c>
      <c r="D111" s="1">
        <v>4420.75</v>
      </c>
      <c r="E111" s="1">
        <f t="shared" si="6"/>
        <v>57.600000000002183</v>
      </c>
    </row>
    <row r="112" spans="1:5" ht="15">
      <c r="A112" s="1">
        <v>8</v>
      </c>
      <c r="B112" s="1">
        <v>4420.75</v>
      </c>
      <c r="C112" s="1">
        <v>20</v>
      </c>
      <c r="D112" s="1">
        <v>4456.0200000000004</v>
      </c>
      <c r="E112" s="1">
        <f t="shared" si="6"/>
        <v>705.40000000000873</v>
      </c>
    </row>
    <row r="113" spans="1:5" ht="15">
      <c r="A113" s="1">
        <v>9</v>
      </c>
      <c r="B113" s="1"/>
      <c r="C113" s="1">
        <v>20</v>
      </c>
      <c r="D113" s="1"/>
      <c r="E113" s="1">
        <f t="shared" si="6"/>
        <v>0</v>
      </c>
    </row>
    <row r="114" spans="1:5" ht="15">
      <c r="A114" s="1">
        <v>10</v>
      </c>
      <c r="B114" s="1"/>
      <c r="C114" s="1">
        <v>20</v>
      </c>
      <c r="D114" s="1"/>
      <c r="E114" s="1">
        <f t="shared" si="6"/>
        <v>0</v>
      </c>
    </row>
    <row r="115" spans="1:5" ht="15">
      <c r="A115" s="1">
        <v>11</v>
      </c>
      <c r="B115" s="1"/>
      <c r="C115" s="1">
        <v>20</v>
      </c>
      <c r="D115" s="1"/>
      <c r="E115" s="1">
        <f t="shared" si="6"/>
        <v>0</v>
      </c>
    </row>
    <row r="116" spans="1:5" ht="15">
      <c r="A116" s="1">
        <v>12</v>
      </c>
      <c r="B116" s="1"/>
      <c r="C116" s="1">
        <v>20</v>
      </c>
      <c r="D116" s="1"/>
      <c r="E116" s="1">
        <f t="shared" si="6"/>
        <v>0</v>
      </c>
    </row>
    <row r="120" spans="1:5" ht="19">
      <c r="A120" s="76" t="s">
        <v>145</v>
      </c>
      <c r="B120" s="76"/>
      <c r="C120" s="76"/>
      <c r="D120" s="76"/>
      <c r="E120" s="76"/>
    </row>
    <row r="121" spans="1:5" ht="15">
      <c r="A121" s="1" t="s">
        <v>110</v>
      </c>
      <c r="B121" s="1" t="s">
        <v>111</v>
      </c>
      <c r="C121" s="1" t="s">
        <v>112</v>
      </c>
      <c r="D121" s="1" t="s">
        <v>113</v>
      </c>
      <c r="E121" s="1" t="s">
        <v>114</v>
      </c>
    </row>
    <row r="122" spans="1:5" ht="15">
      <c r="A122" s="1">
        <v>1</v>
      </c>
      <c r="B122" s="1"/>
      <c r="C122" s="1">
        <v>20</v>
      </c>
      <c r="D122" s="1"/>
      <c r="E122" s="1">
        <f t="shared" ref="E122:E133" si="7">(D122-B122)*C122</f>
        <v>0</v>
      </c>
    </row>
    <row r="123" spans="1:5" ht="15">
      <c r="A123" s="1">
        <v>2</v>
      </c>
      <c r="B123" s="1"/>
      <c r="C123" s="1">
        <v>20</v>
      </c>
      <c r="D123" s="1"/>
      <c r="E123" s="1">
        <f t="shared" si="7"/>
        <v>0</v>
      </c>
    </row>
    <row r="124" spans="1:5" ht="15">
      <c r="A124" s="1">
        <v>3</v>
      </c>
      <c r="B124" s="1"/>
      <c r="C124" s="1">
        <v>20</v>
      </c>
      <c r="D124" s="1"/>
      <c r="E124" s="1">
        <f t="shared" si="7"/>
        <v>0</v>
      </c>
    </row>
    <row r="125" spans="1:5" ht="15">
      <c r="A125" s="1">
        <v>4</v>
      </c>
      <c r="B125" s="1"/>
      <c r="C125" s="1">
        <v>20</v>
      </c>
      <c r="D125" s="4"/>
      <c r="E125" s="1">
        <f t="shared" si="7"/>
        <v>0</v>
      </c>
    </row>
    <row r="126" spans="1:5" ht="15">
      <c r="A126" s="1">
        <v>5</v>
      </c>
      <c r="B126" s="1">
        <v>4410.51</v>
      </c>
      <c r="C126" s="1">
        <v>20</v>
      </c>
      <c r="D126" s="1">
        <v>4435.29</v>
      </c>
      <c r="E126" s="1">
        <f t="shared" si="7"/>
        <v>495.59999999999491</v>
      </c>
    </row>
    <row r="127" spans="1:5" ht="15">
      <c r="A127" s="1">
        <v>6</v>
      </c>
      <c r="B127" s="1">
        <v>4435.29</v>
      </c>
      <c r="C127" s="1">
        <v>20</v>
      </c>
      <c r="D127" s="1">
        <v>4437.08</v>
      </c>
      <c r="E127" s="1">
        <f t="shared" si="7"/>
        <v>35.799999999999272</v>
      </c>
    </row>
    <row r="128" spans="1:5" ht="15">
      <c r="A128" s="1">
        <v>7</v>
      </c>
      <c r="B128" s="1">
        <v>4437.08</v>
      </c>
      <c r="C128" s="1">
        <v>20</v>
      </c>
      <c r="D128" s="1">
        <v>4451.33</v>
      </c>
      <c r="E128" s="1">
        <f t="shared" si="7"/>
        <v>285</v>
      </c>
    </row>
    <row r="129" spans="1:5" ht="15">
      <c r="A129" s="1">
        <v>8</v>
      </c>
      <c r="B129" s="1">
        <v>4451.33</v>
      </c>
      <c r="C129" s="1">
        <v>20</v>
      </c>
      <c r="D129" s="1">
        <v>4527.53</v>
      </c>
      <c r="E129" s="1">
        <f t="shared" si="7"/>
        <v>1523.9999999999964</v>
      </c>
    </row>
    <row r="130" spans="1:5" ht="15">
      <c r="A130" s="1">
        <v>9</v>
      </c>
      <c r="B130" s="1"/>
      <c r="C130" s="1">
        <v>20</v>
      </c>
      <c r="D130" s="1"/>
      <c r="E130" s="1">
        <f t="shared" si="7"/>
        <v>0</v>
      </c>
    </row>
    <row r="131" spans="1:5" ht="15">
      <c r="A131" s="1">
        <v>10</v>
      </c>
      <c r="B131" s="1"/>
      <c r="C131" s="1">
        <v>20</v>
      </c>
      <c r="D131" s="1"/>
      <c r="E131" s="1">
        <f t="shared" si="7"/>
        <v>0</v>
      </c>
    </row>
    <row r="132" spans="1:5" ht="15">
      <c r="A132" s="1">
        <v>11</v>
      </c>
      <c r="B132" s="1"/>
      <c r="C132" s="1">
        <v>20</v>
      </c>
      <c r="D132" s="1"/>
      <c r="E132" s="1">
        <f t="shared" si="7"/>
        <v>0</v>
      </c>
    </row>
    <row r="133" spans="1:5" ht="15">
      <c r="A133" s="1">
        <v>12</v>
      </c>
      <c r="B133" s="1"/>
      <c r="C133" s="1">
        <v>20</v>
      </c>
      <c r="D133" s="1"/>
      <c r="E133" s="1">
        <f t="shared" si="7"/>
        <v>0</v>
      </c>
    </row>
    <row r="137" spans="1:5" ht="19">
      <c r="A137" s="76" t="s">
        <v>146</v>
      </c>
      <c r="B137" s="76"/>
      <c r="C137" s="76"/>
      <c r="D137" s="76"/>
      <c r="E137" s="76"/>
    </row>
    <row r="138" spans="1:5" ht="15">
      <c r="A138" s="1" t="s">
        <v>110</v>
      </c>
      <c r="B138" s="1" t="s">
        <v>111</v>
      </c>
      <c r="C138" s="1" t="s">
        <v>112</v>
      </c>
      <c r="D138" s="1" t="s">
        <v>113</v>
      </c>
      <c r="E138" s="1" t="s">
        <v>114</v>
      </c>
    </row>
    <row r="139" spans="1:5" ht="15">
      <c r="A139" s="1">
        <v>1</v>
      </c>
      <c r="B139" s="1"/>
      <c r="C139" s="1">
        <v>20</v>
      </c>
      <c r="D139" s="1"/>
      <c r="E139" s="1">
        <f t="shared" ref="E139:E150" si="8">(D139-B139)*C139</f>
        <v>0</v>
      </c>
    </row>
    <row r="140" spans="1:5" ht="15">
      <c r="A140" s="1">
        <v>2</v>
      </c>
      <c r="B140" s="1"/>
      <c r="C140" s="1">
        <v>20</v>
      </c>
      <c r="D140" s="1"/>
      <c r="E140" s="1">
        <f t="shared" si="8"/>
        <v>0</v>
      </c>
    </row>
    <row r="141" spans="1:5" ht="15">
      <c r="A141" s="1">
        <v>3</v>
      </c>
      <c r="B141" s="1"/>
      <c r="C141" s="1">
        <v>20</v>
      </c>
      <c r="D141" s="1"/>
      <c r="E141" s="1">
        <f t="shared" si="8"/>
        <v>0</v>
      </c>
    </row>
    <row r="142" spans="1:5" ht="15">
      <c r="A142" s="1">
        <v>4</v>
      </c>
      <c r="B142" s="1"/>
      <c r="C142" s="1">
        <v>20</v>
      </c>
      <c r="D142" s="4"/>
      <c r="E142" s="1">
        <f t="shared" si="8"/>
        <v>0</v>
      </c>
    </row>
    <row r="143" spans="1:5" ht="15">
      <c r="A143" s="1">
        <v>5</v>
      </c>
      <c r="B143" s="1">
        <v>4056.01</v>
      </c>
      <c r="C143" s="1">
        <v>20</v>
      </c>
      <c r="D143" s="1">
        <v>4075.78</v>
      </c>
      <c r="E143" s="1">
        <f t="shared" si="8"/>
        <v>395.39999999999964</v>
      </c>
    </row>
    <row r="144" spans="1:5" ht="15">
      <c r="A144" s="1">
        <v>6</v>
      </c>
      <c r="B144" s="1">
        <v>4075.78</v>
      </c>
      <c r="C144" s="1">
        <v>20</v>
      </c>
      <c r="D144" s="1">
        <v>4077.09</v>
      </c>
      <c r="E144" s="1">
        <f t="shared" si="8"/>
        <v>26.199999999998909</v>
      </c>
    </row>
    <row r="145" spans="1:5" ht="15">
      <c r="A145" s="1">
        <v>7</v>
      </c>
      <c r="B145" s="1">
        <v>4077.09</v>
      </c>
      <c r="C145" s="1">
        <v>20</v>
      </c>
      <c r="D145" s="1">
        <v>4109.82</v>
      </c>
      <c r="E145" s="1">
        <f t="shared" si="8"/>
        <v>654.59999999999127</v>
      </c>
    </row>
    <row r="146" spans="1:5" ht="15">
      <c r="A146" s="1">
        <v>8</v>
      </c>
      <c r="B146" s="1">
        <v>4109.82</v>
      </c>
      <c r="C146" s="1">
        <v>20</v>
      </c>
      <c r="D146" s="1">
        <v>4110.5200000000004</v>
      </c>
      <c r="E146" s="1">
        <f t="shared" si="8"/>
        <v>14.000000000014552</v>
      </c>
    </row>
    <row r="147" spans="1:5" ht="15">
      <c r="A147" s="1">
        <v>9</v>
      </c>
      <c r="B147" s="1"/>
      <c r="C147" s="1">
        <v>20</v>
      </c>
      <c r="D147" s="1"/>
      <c r="E147" s="1">
        <f t="shared" si="8"/>
        <v>0</v>
      </c>
    </row>
    <row r="148" spans="1:5" ht="15">
      <c r="A148" s="1">
        <v>10</v>
      </c>
      <c r="B148" s="1"/>
      <c r="C148" s="1">
        <v>20</v>
      </c>
      <c r="D148" s="1"/>
      <c r="E148" s="1">
        <f t="shared" si="8"/>
        <v>0</v>
      </c>
    </row>
    <row r="149" spans="1:5" ht="15">
      <c r="A149" s="1">
        <v>11</v>
      </c>
      <c r="B149" s="1"/>
      <c r="C149" s="1">
        <v>20</v>
      </c>
      <c r="D149" s="1"/>
      <c r="E149" s="1">
        <f t="shared" si="8"/>
        <v>0</v>
      </c>
    </row>
    <row r="150" spans="1:5" ht="15">
      <c r="A150" s="1">
        <v>12</v>
      </c>
      <c r="B150" s="1"/>
      <c r="C150" s="1">
        <v>20</v>
      </c>
      <c r="D150" s="1"/>
      <c r="E150" s="1">
        <f t="shared" si="8"/>
        <v>0</v>
      </c>
    </row>
  </sheetData>
  <mergeCells count="9">
    <mergeCell ref="A86:E86"/>
    <mergeCell ref="A103:E103"/>
    <mergeCell ref="A120:E120"/>
    <mergeCell ref="A137:E137"/>
    <mergeCell ref="A1:E1"/>
    <mergeCell ref="A18:E18"/>
    <mergeCell ref="A35:E35"/>
    <mergeCell ref="A52:E52"/>
    <mergeCell ref="A69:E69"/>
  </mergeCells>
  <phoneticPr fontId="10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44D018-F446-4DCC-901D-211D1325BB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公司信息</vt:lpstr>
      <vt:lpstr>电量统计</vt:lpstr>
      <vt:lpstr>综合信息</vt:lpstr>
      <vt:lpstr>Sheet1</vt:lpstr>
      <vt:lpstr>空调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zhy</cp:lastModifiedBy>
  <dcterms:created xsi:type="dcterms:W3CDTF">2023-05-12T11:15:00Z</dcterms:created>
  <dcterms:modified xsi:type="dcterms:W3CDTF">2025-12-18T04:51:08Z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4F52FA04EFBF4CCB8F216A6F86BBE9FD_12</vt:lpwstr>
  </property>
</Properties>
</file>