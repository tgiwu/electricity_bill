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/>
  <mc:AlternateContent xmlns:mc="http://schemas.openxmlformats.org/markup-compatibility/2006">
    <mc:Choice Requires="x15">
      <x15ac:absPath xmlns:x15ac="http://schemas.microsoft.com/office/spreadsheetml/2010/11/ac" url="/Users/yangzhang/vsCodeProject/electricity_bill/input/"/>
    </mc:Choice>
  </mc:AlternateContent>
  <xr:revisionPtr revIDLastSave="0" documentId="13_ncr:1_{DBD89E5D-7E5D-9548-9CA4-B10EC5076CD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2025" sheetId="2" r:id="rId1"/>
    <sheet name="Sheet1" sheetId="1" r:id="rId2"/>
    <sheet name="空调" sheetId="4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0" i="4" l="1"/>
  <c r="E149" i="4"/>
  <c r="E148" i="4"/>
  <c r="E147" i="4"/>
  <c r="E146" i="4"/>
  <c r="E145" i="4"/>
  <c r="E144" i="4"/>
  <c r="E143" i="4"/>
  <c r="E142" i="4"/>
  <c r="E141" i="4"/>
  <c r="E140" i="4"/>
  <c r="E139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99" i="4"/>
  <c r="E98" i="4"/>
  <c r="E97" i="4"/>
  <c r="E96" i="4"/>
  <c r="E95" i="4"/>
  <c r="E94" i="4"/>
  <c r="E93" i="4"/>
  <c r="E92" i="4"/>
  <c r="E91" i="4"/>
  <c r="E90" i="4"/>
  <c r="E89" i="4"/>
  <c r="E88" i="4"/>
  <c r="E82" i="4"/>
  <c r="E81" i="4"/>
  <c r="E80" i="4"/>
  <c r="E79" i="4"/>
  <c r="E78" i="4"/>
  <c r="E77" i="4"/>
  <c r="E76" i="4"/>
  <c r="E75" i="4"/>
  <c r="E74" i="4"/>
  <c r="E73" i="4"/>
  <c r="E72" i="4"/>
  <c r="E71" i="4"/>
  <c r="E65" i="4"/>
  <c r="E64" i="4"/>
  <c r="E63" i="4"/>
  <c r="E62" i="4"/>
  <c r="E61" i="4"/>
  <c r="E60" i="4"/>
  <c r="E59" i="4"/>
  <c r="E58" i="4"/>
  <c r="E57" i="4"/>
  <c r="E56" i="4"/>
  <c r="E55" i="4"/>
  <c r="E54" i="4"/>
  <c r="E48" i="4"/>
  <c r="E47" i="4"/>
  <c r="E46" i="4"/>
  <c r="E45" i="4"/>
  <c r="E44" i="4"/>
  <c r="E43" i="4"/>
  <c r="E42" i="4"/>
  <c r="E41" i="4"/>
  <c r="E40" i="4"/>
  <c r="E39" i="4"/>
  <c r="E38" i="4"/>
  <c r="E37" i="4"/>
  <c r="E31" i="4"/>
  <c r="E30" i="4"/>
  <c r="E29" i="4"/>
  <c r="E28" i="4"/>
  <c r="E27" i="4"/>
  <c r="E26" i="4"/>
  <c r="E25" i="4"/>
  <c r="E24" i="4"/>
  <c r="E23" i="4"/>
  <c r="E22" i="4"/>
  <c r="E21" i="4"/>
  <c r="E20" i="4"/>
  <c r="E14" i="4"/>
  <c r="E13" i="4"/>
  <c r="E12" i="4"/>
  <c r="E11" i="4"/>
  <c r="E10" i="4"/>
  <c r="E9" i="4"/>
  <c r="E8" i="4"/>
  <c r="E7" i="4"/>
  <c r="E6" i="4"/>
  <c r="E5" i="4"/>
  <c r="E4" i="4"/>
  <c r="E3" i="4"/>
  <c r="K133" i="1"/>
  <c r="E133" i="1"/>
  <c r="K132" i="1"/>
  <c r="E132" i="1"/>
  <c r="K131" i="1"/>
  <c r="E131" i="1"/>
  <c r="K130" i="1"/>
  <c r="E130" i="1"/>
  <c r="K129" i="1"/>
  <c r="E129" i="1"/>
  <c r="K128" i="1"/>
  <c r="E128" i="1"/>
  <c r="K127" i="1"/>
  <c r="E127" i="1"/>
  <c r="K126" i="1"/>
  <c r="E126" i="1"/>
  <c r="K125" i="1"/>
  <c r="E125" i="1"/>
  <c r="K124" i="1"/>
  <c r="E124" i="1"/>
  <c r="K123" i="1"/>
  <c r="E123" i="1"/>
  <c r="K122" i="1"/>
  <c r="E122" i="1"/>
  <c r="W116" i="1"/>
  <c r="Q116" i="1"/>
  <c r="K116" i="1"/>
  <c r="E116" i="1"/>
  <c r="W115" i="1"/>
  <c r="Q115" i="1"/>
  <c r="K115" i="1"/>
  <c r="E115" i="1"/>
  <c r="W114" i="1"/>
  <c r="Q114" i="1"/>
  <c r="K114" i="1"/>
  <c r="E114" i="1"/>
  <c r="W113" i="1"/>
  <c r="Q113" i="1"/>
  <c r="K113" i="1"/>
  <c r="E113" i="1"/>
  <c r="W112" i="1"/>
  <c r="Q112" i="1"/>
  <c r="K112" i="1"/>
  <c r="E112" i="1"/>
  <c r="W111" i="1"/>
  <c r="Q111" i="1"/>
  <c r="K111" i="1"/>
  <c r="E111" i="1"/>
  <c r="W110" i="1"/>
  <c r="Q110" i="1"/>
  <c r="K110" i="1"/>
  <c r="E110" i="1"/>
  <c r="W109" i="1"/>
  <c r="Q109" i="1"/>
  <c r="K109" i="1"/>
  <c r="E109" i="1"/>
  <c r="W108" i="1"/>
  <c r="Q108" i="1"/>
  <c r="K108" i="1"/>
  <c r="E108" i="1"/>
  <c r="W107" i="1"/>
  <c r="Q107" i="1"/>
  <c r="K107" i="1"/>
  <c r="E107" i="1"/>
  <c r="W106" i="1"/>
  <c r="Q106" i="1"/>
  <c r="K106" i="1"/>
  <c r="E106" i="1"/>
  <c r="W105" i="1"/>
  <c r="Q105" i="1"/>
  <c r="K105" i="1"/>
  <c r="E105" i="1"/>
  <c r="Q99" i="1"/>
  <c r="K99" i="1"/>
  <c r="E99" i="1"/>
  <c r="Q98" i="1"/>
  <c r="K98" i="1"/>
  <c r="E98" i="1"/>
  <c r="Q97" i="1"/>
  <c r="K97" i="1"/>
  <c r="E97" i="1"/>
  <c r="Q96" i="1"/>
  <c r="K96" i="1"/>
  <c r="E96" i="1"/>
  <c r="Q95" i="1"/>
  <c r="K95" i="1"/>
  <c r="E95" i="1"/>
  <c r="Q94" i="1"/>
  <c r="K94" i="1"/>
  <c r="E94" i="1"/>
  <c r="Q93" i="1"/>
  <c r="K93" i="1"/>
  <c r="E93" i="1"/>
  <c r="Q92" i="1"/>
  <c r="K92" i="1"/>
  <c r="E92" i="1"/>
  <c r="Q91" i="1"/>
  <c r="K91" i="1"/>
  <c r="E91" i="1"/>
  <c r="Q90" i="1"/>
  <c r="K90" i="1"/>
  <c r="E90" i="1"/>
  <c r="Q89" i="1"/>
  <c r="K89" i="1"/>
  <c r="E89" i="1"/>
  <c r="Q88" i="1"/>
  <c r="K88" i="1"/>
  <c r="E88" i="1"/>
  <c r="Q82" i="1"/>
  <c r="K82" i="1"/>
  <c r="E82" i="1"/>
  <c r="Q81" i="1"/>
  <c r="K81" i="1"/>
  <c r="E81" i="1"/>
  <c r="Q80" i="1"/>
  <c r="K80" i="1"/>
  <c r="E80" i="1"/>
  <c r="Q79" i="1"/>
  <c r="K79" i="1"/>
  <c r="E79" i="1"/>
  <c r="Q78" i="1"/>
  <c r="K78" i="1"/>
  <c r="E78" i="1"/>
  <c r="Q77" i="1"/>
  <c r="K77" i="1"/>
  <c r="E77" i="1"/>
  <c r="Q76" i="1"/>
  <c r="K76" i="1"/>
  <c r="E76" i="1"/>
  <c r="Q75" i="1"/>
  <c r="K75" i="1"/>
  <c r="E75" i="1"/>
  <c r="Q74" i="1"/>
  <c r="K74" i="1"/>
  <c r="E74" i="1"/>
  <c r="Q73" i="1"/>
  <c r="K73" i="1"/>
  <c r="E73" i="1"/>
  <c r="Q72" i="1"/>
  <c r="K72" i="1"/>
  <c r="E72" i="1"/>
  <c r="Q71" i="1"/>
  <c r="K71" i="1"/>
  <c r="E71" i="1"/>
  <c r="Q65" i="1"/>
  <c r="K65" i="1"/>
  <c r="E65" i="1"/>
  <c r="Q64" i="1"/>
  <c r="K64" i="1"/>
  <c r="E64" i="1"/>
  <c r="Q63" i="1"/>
  <c r="K63" i="1"/>
  <c r="E63" i="1"/>
  <c r="Q62" i="1"/>
  <c r="K62" i="1"/>
  <c r="E62" i="1"/>
  <c r="Q61" i="1"/>
  <c r="K61" i="1"/>
  <c r="E61" i="1"/>
  <c r="Q60" i="1"/>
  <c r="K60" i="1"/>
  <c r="E60" i="1"/>
  <c r="Q59" i="1"/>
  <c r="K59" i="1"/>
  <c r="E59" i="1"/>
  <c r="Q58" i="1"/>
  <c r="K58" i="1"/>
  <c r="E58" i="1"/>
  <c r="Q57" i="1"/>
  <c r="K57" i="1"/>
  <c r="E57" i="1"/>
  <c r="Q56" i="1"/>
  <c r="K56" i="1"/>
  <c r="E56" i="1"/>
  <c r="Q55" i="1"/>
  <c r="K55" i="1"/>
  <c r="E55" i="1"/>
  <c r="Q54" i="1"/>
  <c r="K54" i="1"/>
  <c r="E54" i="1"/>
  <c r="AC48" i="1"/>
  <c r="W48" i="1"/>
  <c r="Q48" i="1"/>
  <c r="K48" i="1"/>
  <c r="E48" i="1"/>
  <c r="AC47" i="1"/>
  <c r="W47" i="1"/>
  <c r="Q47" i="1"/>
  <c r="K47" i="1"/>
  <c r="E47" i="1"/>
  <c r="AC46" i="1"/>
  <c r="W46" i="1"/>
  <c r="Q46" i="1"/>
  <c r="K46" i="1"/>
  <c r="E46" i="1"/>
  <c r="AC45" i="1"/>
  <c r="W45" i="1"/>
  <c r="Q45" i="1"/>
  <c r="K45" i="1"/>
  <c r="E45" i="1"/>
  <c r="AC44" i="1"/>
  <c r="W44" i="1"/>
  <c r="Q44" i="1"/>
  <c r="K44" i="1"/>
  <c r="E44" i="1"/>
  <c r="AC43" i="1"/>
  <c r="W43" i="1"/>
  <c r="Q43" i="1"/>
  <c r="K43" i="1"/>
  <c r="E43" i="1"/>
  <c r="AC42" i="1"/>
  <c r="W42" i="1"/>
  <c r="Q42" i="1"/>
  <c r="K42" i="1"/>
  <c r="E42" i="1"/>
  <c r="AC41" i="1"/>
  <c r="W41" i="1"/>
  <c r="Q41" i="1"/>
  <c r="K41" i="1"/>
  <c r="E41" i="1"/>
  <c r="AC40" i="1"/>
  <c r="W40" i="1"/>
  <c r="Q40" i="1"/>
  <c r="K40" i="1"/>
  <c r="E40" i="1"/>
  <c r="AC39" i="1"/>
  <c r="W39" i="1"/>
  <c r="Q39" i="1"/>
  <c r="K39" i="1"/>
  <c r="E39" i="1"/>
  <c r="AC38" i="1"/>
  <c r="W38" i="1"/>
  <c r="Q38" i="1"/>
  <c r="K38" i="1"/>
  <c r="E38" i="1"/>
  <c r="AC37" i="1"/>
  <c r="W37" i="1"/>
  <c r="Q37" i="1"/>
  <c r="K37" i="1"/>
  <c r="E37" i="1"/>
  <c r="W31" i="1"/>
  <c r="Q31" i="1"/>
  <c r="K31" i="1"/>
  <c r="E31" i="1"/>
  <c r="W30" i="1"/>
  <c r="Q30" i="1"/>
  <c r="K30" i="1"/>
  <c r="E30" i="1"/>
  <c r="W29" i="1"/>
  <c r="Q29" i="1"/>
  <c r="K29" i="1"/>
  <c r="E29" i="1"/>
  <c r="W28" i="1"/>
  <c r="Q28" i="1"/>
  <c r="K28" i="1"/>
  <c r="E28" i="1"/>
  <c r="W27" i="1"/>
  <c r="Q27" i="1"/>
  <c r="K27" i="1"/>
  <c r="E27" i="1"/>
  <c r="W26" i="1"/>
  <c r="Q26" i="1"/>
  <c r="K26" i="1"/>
  <c r="E26" i="1"/>
  <c r="W25" i="1"/>
  <c r="Q25" i="1"/>
  <c r="K25" i="1"/>
  <c r="E25" i="1"/>
  <c r="W24" i="1"/>
  <c r="Q24" i="1"/>
  <c r="K24" i="1"/>
  <c r="E24" i="1"/>
  <c r="W23" i="1"/>
  <c r="Q23" i="1"/>
  <c r="K23" i="1"/>
  <c r="E23" i="1"/>
  <c r="W22" i="1"/>
  <c r="Q22" i="1"/>
  <c r="K22" i="1"/>
  <c r="E22" i="1"/>
  <c r="W21" i="1"/>
  <c r="Q21" i="1"/>
  <c r="K21" i="1"/>
  <c r="E21" i="1"/>
  <c r="W20" i="1"/>
  <c r="Q20" i="1"/>
  <c r="K20" i="1"/>
  <c r="E20" i="1"/>
  <c r="AC14" i="1"/>
  <c r="W14" i="1"/>
  <c r="Q14" i="1"/>
  <c r="K14" i="1"/>
  <c r="E14" i="1"/>
  <c r="AC13" i="1"/>
  <c r="W13" i="1"/>
  <c r="Q13" i="1"/>
  <c r="K13" i="1"/>
  <c r="E13" i="1"/>
  <c r="AC12" i="1"/>
  <c r="W12" i="1"/>
  <c r="Q12" i="1"/>
  <c r="K12" i="1"/>
  <c r="E12" i="1"/>
  <c r="AC11" i="1"/>
  <c r="W11" i="1"/>
  <c r="Q11" i="1"/>
  <c r="K11" i="1"/>
  <c r="E11" i="1"/>
  <c r="AC10" i="1"/>
  <c r="W10" i="1"/>
  <c r="Q10" i="1"/>
  <c r="K10" i="1"/>
  <c r="E10" i="1"/>
  <c r="AC9" i="1"/>
  <c r="W9" i="1"/>
  <c r="Q9" i="1"/>
  <c r="K9" i="1"/>
  <c r="E9" i="1"/>
  <c r="AC8" i="1"/>
  <c r="W8" i="1"/>
  <c r="Q8" i="1"/>
  <c r="K8" i="1"/>
  <c r="E8" i="1"/>
  <c r="AC7" i="1"/>
  <c r="W7" i="1"/>
  <c r="Q7" i="1"/>
  <c r="K7" i="1"/>
  <c r="E7" i="1"/>
  <c r="AC6" i="1"/>
  <c r="W6" i="1"/>
  <c r="Q6" i="1"/>
  <c r="K6" i="1"/>
  <c r="E6" i="1"/>
  <c r="AC5" i="1"/>
  <c r="W5" i="1"/>
  <c r="Q5" i="1"/>
  <c r="K5" i="1"/>
  <c r="E5" i="1"/>
  <c r="AC4" i="1"/>
  <c r="W4" i="1"/>
  <c r="Q4" i="1"/>
  <c r="K4" i="1"/>
  <c r="E4" i="1"/>
  <c r="AC3" i="1"/>
  <c r="W3" i="1"/>
  <c r="Q3" i="1"/>
  <c r="K3" i="1"/>
  <c r="E3" i="1"/>
  <c r="AM41" i="2"/>
  <c r="AM40" i="2"/>
  <c r="AL40" i="2"/>
  <c r="AM39" i="2"/>
  <c r="AL39" i="2"/>
  <c r="AM38" i="2"/>
  <c r="AL38" i="2"/>
  <c r="AM37" i="2"/>
  <c r="AL37" i="2"/>
  <c r="AY36" i="2"/>
  <c r="AX36" i="2"/>
  <c r="AT36" i="2"/>
  <c r="AP36" i="2"/>
  <c r="AM36" i="2"/>
  <c r="AL36" i="2"/>
  <c r="AY35" i="2"/>
  <c r="AX35" i="2"/>
  <c r="AT35" i="2"/>
  <c r="AP35" i="2"/>
  <c r="AM35" i="2"/>
  <c r="AL35" i="2"/>
  <c r="AP34" i="2"/>
  <c r="AM34" i="2"/>
  <c r="AL34" i="2"/>
  <c r="AY33" i="2"/>
  <c r="AX33" i="2"/>
  <c r="AT33" i="2"/>
  <c r="AP33" i="2"/>
  <c r="AM33" i="2"/>
  <c r="AL33" i="2"/>
  <c r="AY32" i="2"/>
  <c r="AX32" i="2"/>
  <c r="AT32" i="2"/>
  <c r="AP32" i="2"/>
  <c r="AM32" i="2"/>
  <c r="AL32" i="2"/>
  <c r="AY31" i="2"/>
  <c r="AX31" i="2"/>
  <c r="AT31" i="2"/>
  <c r="AP31" i="2"/>
  <c r="AM31" i="2"/>
  <c r="AL31" i="2"/>
  <c r="AY30" i="2"/>
  <c r="AX30" i="2"/>
  <c r="AT30" i="2"/>
  <c r="AP30" i="2"/>
  <c r="AM30" i="2"/>
  <c r="AL30" i="2"/>
  <c r="AY29" i="2"/>
  <c r="AX29" i="2"/>
  <c r="AT29" i="2"/>
  <c r="AP29" i="2"/>
  <c r="AM29" i="2"/>
  <c r="AL29" i="2"/>
  <c r="AP28" i="2"/>
  <c r="AM28" i="2"/>
  <c r="AL28" i="2"/>
  <c r="AP27" i="2"/>
  <c r="AM27" i="2"/>
  <c r="AL27" i="2"/>
  <c r="AY26" i="2"/>
  <c r="AX26" i="2"/>
  <c r="AT26" i="2"/>
  <c r="AP26" i="2"/>
  <c r="AM26" i="2"/>
  <c r="AL26" i="2"/>
  <c r="AY25" i="2"/>
  <c r="AX25" i="2"/>
  <c r="AT25" i="2"/>
  <c r="AP25" i="2"/>
  <c r="AM25" i="2"/>
  <c r="AL25" i="2"/>
  <c r="AP24" i="2"/>
  <c r="AM24" i="2"/>
  <c r="AL24" i="2"/>
  <c r="AP23" i="2"/>
  <c r="AM23" i="2"/>
  <c r="AL23" i="2"/>
  <c r="AY22" i="2"/>
  <c r="AX22" i="2"/>
  <c r="AT22" i="2"/>
  <c r="AP22" i="2"/>
  <c r="AM22" i="2"/>
  <c r="AL22" i="2"/>
  <c r="AY21" i="2"/>
  <c r="AX21" i="2"/>
  <c r="AT21" i="2"/>
  <c r="AP21" i="2"/>
  <c r="AM21" i="2"/>
  <c r="AL21" i="2"/>
  <c r="AP20" i="2"/>
  <c r="AM20" i="2"/>
  <c r="AL20" i="2"/>
  <c r="AP19" i="2"/>
  <c r="AM19" i="2"/>
  <c r="AL19" i="2"/>
  <c r="AY18" i="2"/>
  <c r="AX18" i="2"/>
  <c r="AT18" i="2"/>
  <c r="AP18" i="2"/>
  <c r="AM18" i="2"/>
  <c r="AL18" i="2"/>
  <c r="AP17" i="2"/>
  <c r="AM17" i="2"/>
  <c r="AL17" i="2"/>
  <c r="AP16" i="2"/>
  <c r="AM16" i="2"/>
  <c r="AL16" i="2"/>
  <c r="AY15" i="2"/>
  <c r="AX15" i="2"/>
  <c r="AT15" i="2"/>
  <c r="AP15" i="2"/>
  <c r="AM15" i="2"/>
  <c r="AL15" i="2"/>
  <c r="AY14" i="2"/>
  <c r="AX14" i="2"/>
  <c r="AT14" i="2"/>
  <c r="AP14" i="2"/>
  <c r="AM14" i="2"/>
  <c r="AL14" i="2"/>
  <c r="AP13" i="2"/>
  <c r="AM13" i="2"/>
  <c r="AL13" i="2"/>
  <c r="AP12" i="2"/>
  <c r="AM12" i="2"/>
  <c r="AL12" i="2"/>
  <c r="AY11" i="2"/>
  <c r="AX11" i="2"/>
  <c r="AT11" i="2"/>
  <c r="AP11" i="2"/>
  <c r="AM11" i="2"/>
  <c r="AL11" i="2"/>
  <c r="AL10" i="2"/>
  <c r="AY9" i="2"/>
  <c r="AX9" i="2"/>
  <c r="AU9" i="2"/>
  <c r="AT9" i="2"/>
  <c r="AQ9" i="2"/>
  <c r="AP9" i="2"/>
  <c r="AM9" i="2"/>
  <c r="AL9" i="2"/>
  <c r="AP8" i="2"/>
  <c r="AM8" i="2"/>
  <c r="AL8" i="2"/>
  <c r="AP7" i="2"/>
  <c r="AM7" i="2"/>
  <c r="AL7" i="2"/>
  <c r="AL6" i="2"/>
  <c r="AL5" i="2"/>
  <c r="AL4" i="2"/>
  <c r="AL3" i="2"/>
</calcChain>
</file>

<file path=xl/sharedStrings.xml><?xml version="1.0" encoding="utf-8"?>
<sst xmlns="http://schemas.openxmlformats.org/spreadsheetml/2006/main" count="331" uniqueCount="101">
  <si>
    <t>房间号</t>
  </si>
  <si>
    <t>倍数</t>
  </si>
  <si>
    <t>表底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</si>
  <si>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</si>
  <si>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</si>
  <si>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</si>
  <si>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</si>
  <si>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</si>
  <si>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</si>
  <si>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</si>
  <si>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</si>
  <si>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</si>
  <si>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</si>
  <si>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</si>
  <si>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</si>
  <si>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度数</t>
  </si>
  <si>
    <t>空调</t>
  </si>
  <si>
    <t>用电量</t>
  </si>
  <si>
    <t>总用电量</t>
  </si>
  <si>
    <t>1-1-总</t>
  </si>
  <si>
    <t>1-1-公</t>
  </si>
  <si>
    <t>1-101</t>
  </si>
  <si>
    <t>1-102</t>
  </si>
  <si>
    <t>1-2-总</t>
  </si>
  <si>
    <t>1-2-公</t>
  </si>
  <si>
    <t>1-201</t>
  </si>
  <si>
    <t>1-201-内</t>
  </si>
  <si>
    <t>1-202</t>
  </si>
  <si>
    <t>1-3-总</t>
  </si>
  <si>
    <t>1-3-公</t>
  </si>
  <si>
    <t>1-301</t>
  </si>
  <si>
    <t>1-302</t>
  </si>
  <si>
    <t>1-4-总</t>
  </si>
  <si>
    <t>1-4-公</t>
  </si>
  <si>
    <t>1-402</t>
  </si>
  <si>
    <t>1-6-总</t>
  </si>
  <si>
    <t>1-6-公</t>
  </si>
  <si>
    <t>1-601</t>
  </si>
  <si>
    <t>1-602</t>
  </si>
  <si>
    <t>1-7-总</t>
  </si>
  <si>
    <t>1-7-公</t>
  </si>
  <si>
    <t>1-702-1</t>
  </si>
  <si>
    <t>1-702-2</t>
  </si>
  <si>
    <t>1-8-总</t>
  </si>
  <si>
    <t>1-8-公</t>
  </si>
  <si>
    <t>1-801</t>
  </si>
  <si>
    <t>1-802-1</t>
  </si>
  <si>
    <t>1-802-2</t>
  </si>
  <si>
    <t>1-802-3</t>
  </si>
  <si>
    <t>2-4-总</t>
  </si>
  <si>
    <t>2-4-公</t>
  </si>
  <si>
    <t>2-402-1</t>
  </si>
  <si>
    <t>2-402-2</t>
  </si>
  <si>
    <t>3-9-总</t>
  </si>
  <si>
    <t>3-9-公</t>
  </si>
  <si>
    <t>3-901</t>
  </si>
  <si>
    <t>3-902</t>
  </si>
  <si>
    <t>3-801-2</t>
  </si>
  <si>
    <t>3-801-1</t>
  </si>
  <si>
    <t>2025年一单元3层东区办公区用电量</t>
  </si>
  <si>
    <t>2025年一单元3层总用电量</t>
  </si>
  <si>
    <t>2025年一单元3层公区用电量</t>
  </si>
  <si>
    <t>2025年一单元3层西区办公区用电量</t>
  </si>
  <si>
    <t>2025年一单元3层应急用电量</t>
  </si>
  <si>
    <t>月份</t>
  </si>
  <si>
    <t>上月表数</t>
  </si>
  <si>
    <t>倍率</t>
  </si>
  <si>
    <t>本月表数</t>
  </si>
  <si>
    <t>实际用量（度）</t>
  </si>
  <si>
    <t>2025年一单元2层东区用电量</t>
  </si>
  <si>
    <t>2025年一单元2层总用电量</t>
  </si>
  <si>
    <t>2025年一单元2层西区用电量</t>
  </si>
  <si>
    <t>2025年一单元2层应急用电量</t>
  </si>
  <si>
    <t>2025年一单元1层西区用电量</t>
  </si>
  <si>
    <t>2025年一单元1层公区用电量</t>
  </si>
  <si>
    <t>2025年一单元1层东区用电量</t>
  </si>
  <si>
    <t>2025年一单元1层总用电量</t>
  </si>
  <si>
    <t>2025年一单元1层应急照明用电量</t>
  </si>
  <si>
    <t>2025年一单元8层西区用电量</t>
  </si>
  <si>
    <t>2025年一单元8层东区用电量</t>
  </si>
  <si>
    <t>2025年一单元8层公区用电量</t>
  </si>
  <si>
    <t>2025年一单元4层西区用电量</t>
  </si>
  <si>
    <t>2025年一单元4层东区用电量</t>
  </si>
  <si>
    <t>2025年一单元4层公区用电量</t>
  </si>
  <si>
    <t>2025年二单元4层西区用电量</t>
  </si>
  <si>
    <t>2025年二单元4层东区用电量</t>
  </si>
  <si>
    <t>2025年二单元4层公区用电量</t>
  </si>
  <si>
    <t>2025年一单元6层应急用电量</t>
  </si>
  <si>
    <t>2025年一单元6层公区用电量</t>
  </si>
  <si>
    <t>2025年一单元6层东区用电量</t>
  </si>
  <si>
    <t>2025年三单元9层东区用电量</t>
  </si>
  <si>
    <t>2025年三单元9层西区用电量</t>
  </si>
  <si>
    <t>2025年一单元1层外机空调用电量</t>
  </si>
  <si>
    <t>2025年一单元2层外机空调用电量</t>
  </si>
  <si>
    <t>2025年一单元3层外机空调用电量</t>
  </si>
  <si>
    <t>2025年一单元4层外机空调用电量</t>
  </si>
  <si>
    <t>2025年一单元5层外机空调用电量</t>
  </si>
  <si>
    <t>2025年一单元6层外机空调用电量</t>
  </si>
  <si>
    <t>2025年一单元7层外机空调用电量</t>
  </si>
  <si>
    <t>2025年一单元8层外机空调用电量</t>
  </si>
  <si>
    <t>2025年一单元9层外机空调用电量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</si>
</sst>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 "/>
  </numFmts>
  <fonts count="8">
    <font>
      <sz val="11"/>
      <color theme="1"/>
      <name val="宋体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b/>
      <sz val="16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0" xfId="0" applyFill="1">
      <alignment vertical="center"/>
    </xf>
    <xf numFmtId="0" fontId="2" fillId="3" borderId="1" xfId="0" applyFont="1" applyFill="1" applyBorder="1" applyAlignment="1">
      <alignment horizontal="center" vertical="center"/>
    </xf>
    <xf numFmtId="180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180" fontId="3" fillId="9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2"/>
  <sheetViews>
    <sheetView tabSelected="1" zoomScale="158" zoomScaleNormal="158" workbookViewId="0">
      <pane xSplit="31" ySplit="2" topLeftCell="AF5" activePane="bottomRight" state="frozen"/>
      <selection pane="topRight"/>
      <selection pane="bottomLeft"/>
      <selection pane="bottomRight" activeCell="AO12" sqref="AO12"/>
    </sheetView>
  </sheetViews>
  <sheetFormatPr baseColWidth="10" defaultColWidth="9" defaultRowHeight="14"/>
  <cols>
    <col min="3" max="3" width="8.33203125" customWidth="1"/>
    <col min="4" max="31" width="9" hidden="1" customWidth="1"/>
    <col min="32" max="32" width="8" customWidth="1"/>
    <col min="33" max="33" width="7.83203125" customWidth="1"/>
    <col min="34" max="34" width="7.5" customWidth="1"/>
    <col min="35" max="35" width="9" customWidth="1"/>
  </cols>
  <sheetData>
    <row r="1" spans="1:51">
      <c r="A1" s="33" t="s">
        <v>0</v>
      </c>
      <c r="B1" s="33" t="s">
        <v>1</v>
      </c>
      <c r="C1" s="33" t="s">
        <v>2</v>
      </c>
      <c r="D1" s="33" t="s">
        <v>3</v>
      </c>
      <c r="E1" s="33"/>
      <c r="F1" s="33"/>
      <c r="G1" s="33"/>
      <c r="H1" s="33" t="s">
        <v>4</v>
      </c>
      <c r="I1" s="33"/>
      <c r="J1" s="33"/>
      <c r="K1" s="33"/>
      <c r="L1" s="33" t="s">
        <v>5</v>
      </c>
      <c r="M1" s="33"/>
      <c r="N1" s="33"/>
      <c r="O1" s="33"/>
      <c r="P1" s="33" t="s">
        <v>6</v>
      </c>
      <c r="Q1" s="33"/>
      <c r="R1" s="33"/>
      <c r="S1" s="33"/>
      <c r="T1" s="33" t="s">
        <v>7</v>
      </c>
      <c r="U1" s="33"/>
      <c r="V1" s="33"/>
      <c r="W1" s="33"/>
      <c r="X1" s="33" t="s">
        <v>8</v>
      </c>
      <c r="Y1" s="33"/>
      <c r="Z1" s="33"/>
      <c r="AA1" s="33"/>
      <c r="AB1" s="33" t="s">
        <v>9</v>
      </c>
      <c r="AC1" s="33"/>
      <c r="AD1" s="33"/>
      <c r="AE1" s="33"/>
      <c r="AF1" s="34" t="s">
        <v>10</v>
      </c>
      <c r="AG1" s="34"/>
      <c r="AH1" s="34"/>
      <c r="AI1" s="34"/>
      <c r="AJ1" s="34" t="s">
        <v>11</v>
      </c>
      <c r="AK1" s="34"/>
      <c r="AL1" s="34"/>
      <c r="AM1" s="34"/>
      <c r="AN1" s="34" t="s">
        <v>12</v>
      </c>
      <c r="AO1" s="34"/>
      <c r="AP1" s="34"/>
      <c r="AQ1" s="34"/>
      <c r="AR1" s="34" t="s">
        <v>13</v>
      </c>
      <c r="AS1" s="34"/>
      <c r="AT1" s="34"/>
      <c r="AU1" s="34"/>
      <c r="AV1" s="34" t="s">
        <v>14</v>
      </c>
      <c r="AW1" s="34"/>
      <c r="AX1" s="34"/>
      <c r="AY1" s="34"/>
    </row>
    <row r="2" spans="1:51">
      <c r="A2" s="33"/>
      <c r="B2" s="33"/>
      <c r="C2" s="33"/>
      <c r="D2" s="31" t="s">
        <v>15</v>
      </c>
      <c r="E2" s="31" t="s">
        <v>16</v>
      </c>
      <c r="F2" s="31" t="s">
        <v>17</v>
      </c>
      <c r="G2" s="31" t="s">
        <v>18</v>
      </c>
      <c r="H2" s="31" t="s">
        <v>15</v>
      </c>
      <c r="I2" s="31" t="s">
        <v>16</v>
      </c>
      <c r="J2" s="31" t="s">
        <v>17</v>
      </c>
      <c r="K2" s="31" t="s">
        <v>18</v>
      </c>
      <c r="L2" s="31" t="s">
        <v>15</v>
      </c>
      <c r="M2" s="31" t="s">
        <v>16</v>
      </c>
      <c r="N2" s="31" t="s">
        <v>17</v>
      </c>
      <c r="O2" s="31" t="s">
        <v>18</v>
      </c>
      <c r="P2" s="31" t="s">
        <v>15</v>
      </c>
      <c r="Q2" s="31" t="s">
        <v>16</v>
      </c>
      <c r="R2" s="31" t="s">
        <v>17</v>
      </c>
      <c r="S2" s="31" t="s">
        <v>18</v>
      </c>
      <c r="T2" s="31" t="s">
        <v>15</v>
      </c>
      <c r="U2" s="31" t="s">
        <v>16</v>
      </c>
      <c r="V2" s="31" t="s">
        <v>17</v>
      </c>
      <c r="W2" s="31" t="s">
        <v>18</v>
      </c>
      <c r="X2" s="31" t="s">
        <v>15</v>
      </c>
      <c r="Y2" s="31" t="s">
        <v>16</v>
      </c>
      <c r="Z2" s="31" t="s">
        <v>17</v>
      </c>
      <c r="AA2" s="31" t="s">
        <v>18</v>
      </c>
      <c r="AB2" s="31" t="s">
        <v>15</v>
      </c>
      <c r="AC2" s="31" t="s">
        <v>16</v>
      </c>
      <c r="AD2" s="31" t="s">
        <v>17</v>
      </c>
      <c r="AE2" s="31" t="s">
        <v>18</v>
      </c>
      <c r="AF2" s="32" t="s">
        <v>15</v>
      </c>
      <c r="AG2" s="32" t="s">
        <v>16</v>
      </c>
      <c r="AH2" s="32" t="s">
        <v>17</v>
      </c>
      <c r="AI2" s="32" t="s">
        <v>18</v>
      </c>
      <c r="AJ2" s="32" t="s">
        <v>15</v>
      </c>
      <c r="AK2" s="32" t="s">
        <v>16</v>
      </c>
      <c r="AL2" s="32" t="s">
        <v>17</v>
      </c>
      <c r="AM2" s="32" t="s">
        <v>18</v>
      </c>
      <c r="AN2" s="32" t="s">
        <v>15</v>
      </c>
      <c r="AO2" s="32" t="s">
        <v>16</v>
      </c>
      <c r="AP2" s="32" t="s">
        <v>17</v>
      </c>
      <c r="AQ2" s="32" t="s">
        <v>18</v>
      </c>
      <c r="AR2" s="32" t="s">
        <v>15</v>
      </c>
      <c r="AS2" s="32" t="s">
        <v>16</v>
      </c>
      <c r="AT2" s="32" t="s">
        <v>17</v>
      </c>
      <c r="AU2" s="32" t="s">
        <v>18</v>
      </c>
      <c r="AV2" s="32" t="s">
        <v>15</v>
      </c>
      <c r="AW2" s="32" t="s">
        <v>16</v>
      </c>
      <c r="AX2" s="32" t="s">
        <v>17</v>
      </c>
      <c r="AY2" s="32" t="s">
        <v>18</v>
      </c>
    </row>
    <row r="3" spans="1:51">
      <c r="A3" s="31" t="s">
        <v>19</v>
      </c>
      <c r="B3" s="31">
        <v>50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2">
        <v>1097.68</v>
      </c>
      <c r="AG3" s="32"/>
      <c r="AH3" s="32"/>
      <c r="AI3" s="32"/>
      <c r="AJ3" s="32"/>
      <c r="AK3" s="32"/>
      <c r="AL3" s="31" t="str">
        <f t="shared" ref="AL3:AL6" si="0">IF(AJ3="","",IF(AF3="",(AJ3-C3)*B3,(AJ3-AF3)*B3))</f>
        <v/>
      </c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</row>
    <row r="4" spans="1:51">
      <c r="A4" s="31" t="s">
        <v>20</v>
      </c>
      <c r="B4" s="31">
        <v>20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2">
        <v>51.21</v>
      </c>
      <c r="AG4" s="32"/>
      <c r="AH4" s="32"/>
      <c r="AI4" s="32"/>
      <c r="AJ4" s="32"/>
      <c r="AK4" s="32"/>
      <c r="AL4" s="31" t="str">
        <f t="shared" si="0"/>
        <v/>
      </c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</row>
    <row r="5" spans="1:51">
      <c r="A5" s="31" t="s">
        <v>21</v>
      </c>
      <c r="B5" s="31">
        <v>20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2">
        <v>2131.2399999999998</v>
      </c>
      <c r="AG5" s="32"/>
      <c r="AH5" s="32"/>
      <c r="AI5" s="32"/>
      <c r="AJ5" s="32"/>
      <c r="AK5" s="32"/>
      <c r="AL5" s="31" t="str">
        <f t="shared" si="0"/>
        <v/>
      </c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</row>
    <row r="6" spans="1:51">
      <c r="A6" s="31" t="s">
        <v>22</v>
      </c>
      <c r="B6" s="31">
        <v>20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2">
        <v>608.91</v>
      </c>
      <c r="AG6" s="32"/>
      <c r="AH6" s="32"/>
      <c r="AI6" s="32"/>
      <c r="AJ6" s="32"/>
      <c r="AK6" s="32"/>
      <c r="AL6" s="31" t="str">
        <f t="shared" si="0"/>
        <v/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</row>
    <row r="7" spans="1:51">
      <c r="A7" s="31" t="s">
        <v>23</v>
      </c>
      <c r="B7" s="31">
        <v>40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2"/>
      <c r="AG7" s="32"/>
      <c r="AH7" s="32"/>
      <c r="AI7" s="32"/>
      <c r="AJ7" s="32">
        <v>324.63</v>
      </c>
      <c r="AK7" s="32"/>
      <c r="AL7" s="31">
        <f t="shared" ref="AL7:AL10" si="1">IF(AJ7="","",IF(AF7="",(AJ7-C7)*B7,(AJ7-AF7)*B7))</f>
        <v>12985.2</v>
      </c>
      <c r="AM7" s="31">
        <f t="shared" ref="AM7:AM9" si="2">IF(AL7="","",AK7+AL7)</f>
        <v>12985.2</v>
      </c>
      <c r="AN7" s="32"/>
      <c r="AO7" s="32"/>
      <c r="AP7" s="31" t="str">
        <f t="shared" ref="AP7:AP9" si="3">IF(AN7="","",IF(AJ7="",(AN7-AF7)*B7,(AN7-AJ7)*20))</f>
        <v/>
      </c>
      <c r="AQ7" s="32"/>
      <c r="AR7" s="32"/>
      <c r="AS7" s="32"/>
      <c r="AT7" s="32"/>
      <c r="AU7" s="32"/>
      <c r="AV7" s="32"/>
      <c r="AW7" s="32"/>
      <c r="AX7" s="32"/>
      <c r="AY7" s="32"/>
    </row>
    <row r="8" spans="1:51">
      <c r="A8" s="31" t="s">
        <v>24</v>
      </c>
      <c r="B8" s="31">
        <v>10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2"/>
      <c r="AG8" s="32"/>
      <c r="AH8" s="32"/>
      <c r="AI8" s="32"/>
      <c r="AJ8" s="32">
        <v>97.62</v>
      </c>
      <c r="AK8" s="32"/>
      <c r="AL8" s="31">
        <f t="shared" si="1"/>
        <v>976.2</v>
      </c>
      <c r="AM8" s="31">
        <f t="shared" si="2"/>
        <v>976.2</v>
      </c>
      <c r="AN8" s="32"/>
      <c r="AO8" s="32"/>
      <c r="AP8" s="31" t="str">
        <f t="shared" si="3"/>
        <v/>
      </c>
      <c r="AQ8" s="32"/>
      <c r="AR8" s="32"/>
      <c r="AS8" s="32"/>
      <c r="AT8" s="32"/>
      <c r="AU8" s="32"/>
      <c r="AV8" s="32"/>
      <c r="AW8" s="32"/>
      <c r="AX8" s="32"/>
      <c r="AY8" s="32"/>
    </row>
    <row r="9" spans="1:51">
      <c r="A9" s="31" t="s">
        <v>25</v>
      </c>
      <c r="B9" s="31">
        <v>20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>
        <v>177.44</v>
      </c>
      <c r="AG9" s="31"/>
      <c r="AH9" s="31"/>
      <c r="AI9" s="31"/>
      <c r="AJ9" s="31">
        <v>178.58</v>
      </c>
      <c r="AK9" s="31"/>
      <c r="AL9" s="31">
        <f t="shared" si="1"/>
        <v>22.800000000000299</v>
      </c>
      <c r="AM9" s="31">
        <f t="shared" si="2"/>
        <v>22.800000000000299</v>
      </c>
      <c r="AN9" s="31"/>
      <c r="AO9" s="31"/>
      <c r="AP9" s="31" t="str">
        <f t="shared" si="3"/>
        <v/>
      </c>
      <c r="AQ9" s="31" t="str">
        <f>IF(AP9="","",AO9+AP9)</f>
        <v/>
      </c>
      <c r="AR9" s="31"/>
      <c r="AS9" s="31"/>
      <c r="AT9" s="31" t="str">
        <f>IF(AR9="","",IF(AN9="",(AR9-AF9)*B9,(AR9-AN9)*B9))</f>
        <v/>
      </c>
      <c r="AU9" s="31" t="str">
        <f>IF(AT9="","",AS9+AT9)</f>
        <v/>
      </c>
      <c r="AV9" s="31"/>
      <c r="AW9" s="31"/>
      <c r="AX9" s="31" t="str">
        <f>IF(AV9="","",IF(AR9="",(AV9-AF9)*B9,(AV9-AR9)*B9))</f>
        <v/>
      </c>
      <c r="AY9" s="31" t="str">
        <f>IF(AX9="","",AW9+AX9)</f>
        <v/>
      </c>
    </row>
    <row r="10" spans="1:51">
      <c r="A10" s="31" t="s">
        <v>26</v>
      </c>
      <c r="B10" s="31">
        <v>50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2">
        <v>0</v>
      </c>
      <c r="AG10" s="31"/>
      <c r="AH10" s="31"/>
      <c r="AI10" s="31"/>
      <c r="AJ10" s="32">
        <v>13.18</v>
      </c>
      <c r="AK10" s="31"/>
      <c r="AL10" s="31">
        <f t="shared" si="1"/>
        <v>659</v>
      </c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</row>
    <row r="11" spans="1:51">
      <c r="A11" s="31" t="s">
        <v>27</v>
      </c>
      <c r="B11" s="31">
        <v>20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>
        <v>300.52</v>
      </c>
      <c r="AG11" s="31"/>
      <c r="AH11" s="31"/>
      <c r="AI11" s="31"/>
      <c r="AJ11" s="31">
        <v>307.24</v>
      </c>
      <c r="AK11" s="31"/>
      <c r="AL11" s="31">
        <f t="shared" ref="AL11:AL40" si="4">IF(AJ11="","",IF(AF11="",(AJ11-C11)*B11,(AJ11-AF11)*B11))</f>
        <v>134.400000000001</v>
      </c>
      <c r="AM11" s="31">
        <f t="shared" ref="AM11:AM41" si="5">IF(AL11="","",AK11+AL11)</f>
        <v>134.400000000001</v>
      </c>
      <c r="AN11" s="31"/>
      <c r="AO11" s="31"/>
      <c r="AP11" s="31" t="str">
        <f t="shared" ref="AP11:AP36" si="6">IF(AN11="","",IF(AJ11="",(AN11-AF11)*B11,(AN11-AJ11)*20))</f>
        <v/>
      </c>
      <c r="AQ11" s="31"/>
      <c r="AR11" s="31"/>
      <c r="AS11" s="31"/>
      <c r="AT11" s="31" t="str">
        <f>IF(AR11="","",IF(AN11="",(AR11-AF11)*B11,(AR11-AN11)*B11))</f>
        <v/>
      </c>
      <c r="AU11" s="31"/>
      <c r="AV11" s="31"/>
      <c r="AW11" s="31"/>
      <c r="AX11" s="31" t="str">
        <f>IF(AV11="","",IF(AR11="",(AV11-AF11)*B11,(AV11-AR11)*B11))</f>
        <v/>
      </c>
      <c r="AY11" s="31" t="str">
        <f t="shared" ref="AY11:AY36" si="7">IF(AX11="","",AW11+AX11)</f>
        <v/>
      </c>
    </row>
    <row r="12" spans="1:51">
      <c r="A12" s="31" t="s">
        <v>28</v>
      </c>
      <c r="B12" s="31">
        <v>40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2">
        <v>1277.33</v>
      </c>
      <c r="AK12" s="31"/>
      <c r="AL12" s="31">
        <f t="shared" si="4"/>
        <v>51093.2</v>
      </c>
      <c r="AM12" s="31">
        <f t="shared" si="5"/>
        <v>51093.2</v>
      </c>
      <c r="AN12" s="31"/>
      <c r="AO12" s="31"/>
      <c r="AP12" s="31" t="str">
        <f t="shared" si="6"/>
        <v/>
      </c>
      <c r="AQ12" s="31"/>
      <c r="AR12" s="31"/>
      <c r="AS12" s="31"/>
      <c r="AT12" s="31"/>
      <c r="AU12" s="31"/>
      <c r="AV12" s="31"/>
      <c r="AW12" s="31"/>
      <c r="AX12" s="31"/>
      <c r="AY12" s="31"/>
    </row>
    <row r="13" spans="1:51">
      <c r="A13" s="31" t="s">
        <v>29</v>
      </c>
      <c r="B13" s="31">
        <v>10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2">
        <v>336.04</v>
      </c>
      <c r="AK13" s="31"/>
      <c r="AL13" s="31">
        <f t="shared" si="4"/>
        <v>3360.4</v>
      </c>
      <c r="AM13" s="31">
        <f t="shared" si="5"/>
        <v>3360.4</v>
      </c>
      <c r="AN13" s="31"/>
      <c r="AO13" s="31"/>
      <c r="AP13" s="31" t="str">
        <f t="shared" si="6"/>
        <v/>
      </c>
      <c r="AQ13" s="31"/>
      <c r="AR13" s="31"/>
      <c r="AS13" s="31"/>
      <c r="AT13" s="31"/>
      <c r="AU13" s="31"/>
      <c r="AV13" s="31"/>
      <c r="AW13" s="31"/>
      <c r="AX13" s="31"/>
      <c r="AY13" s="31"/>
    </row>
    <row r="14" spans="1:51">
      <c r="A14" s="31" t="s">
        <v>30</v>
      </c>
      <c r="B14" s="31">
        <v>20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>
        <v>1747.52</v>
      </c>
      <c r="AG14" s="31"/>
      <c r="AH14" s="31"/>
      <c r="AI14" s="31"/>
      <c r="AJ14" s="31">
        <v>1769.04</v>
      </c>
      <c r="AK14" s="31">
        <v>5360.09</v>
      </c>
      <c r="AL14" s="31">
        <f t="shared" si="4"/>
        <v>430.4</v>
      </c>
      <c r="AM14" s="31">
        <f t="shared" si="5"/>
        <v>5790.49</v>
      </c>
      <c r="AN14" s="31"/>
      <c r="AO14" s="31"/>
      <c r="AP14" s="31" t="str">
        <f t="shared" si="6"/>
        <v/>
      </c>
      <c r="AQ14" s="31"/>
      <c r="AR14" s="31"/>
      <c r="AS14" s="31"/>
      <c r="AT14" s="31" t="str">
        <f>IF(AR14="","",IF(AN14="",(AR14-AF14)*B14,(AR14-AN14)*B14))</f>
        <v/>
      </c>
      <c r="AU14" s="31"/>
      <c r="AV14" s="31"/>
      <c r="AW14" s="31"/>
      <c r="AX14" s="31" t="str">
        <f>IF(AV14="","",IF(AR14="",(AV14-AF14)*B14,(AV14-AR14)*B14))</f>
        <v/>
      </c>
      <c r="AY14" s="31" t="str">
        <f t="shared" si="7"/>
        <v/>
      </c>
    </row>
    <row r="15" spans="1:51">
      <c r="A15" s="31" t="s">
        <v>31</v>
      </c>
      <c r="B15" s="31">
        <v>20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>
        <v>597.29999999999995</v>
      </c>
      <c r="AG15" s="31"/>
      <c r="AH15" s="31"/>
      <c r="AI15" s="31"/>
      <c r="AJ15" s="31">
        <v>624.97</v>
      </c>
      <c r="AK15" s="31"/>
      <c r="AL15" s="31">
        <f t="shared" si="4"/>
        <v>553.400000000001</v>
      </c>
      <c r="AM15" s="31">
        <f t="shared" si="5"/>
        <v>553.400000000001</v>
      </c>
      <c r="AN15" s="31"/>
      <c r="AO15" s="31"/>
      <c r="AP15" s="31" t="str">
        <f t="shared" si="6"/>
        <v/>
      </c>
      <c r="AQ15" s="31"/>
      <c r="AR15" s="31"/>
      <c r="AS15" s="31"/>
      <c r="AT15" s="31" t="str">
        <f t="shared" ref="AT15:AT36" si="8">IF(AR15="","",IF(AN15="",(AR15-C15)*B15,(AR15-AN15)*B15))</f>
        <v/>
      </c>
      <c r="AU15" s="31"/>
      <c r="AV15" s="31"/>
      <c r="AW15" s="31"/>
      <c r="AX15" s="31" t="str">
        <f t="shared" ref="AX15:AX36" si="9">IF(AV15="","",IF(AR15="",(AV15-C15)*B15,(AV15-AR15)*B15))</f>
        <v/>
      </c>
      <c r="AY15" s="31" t="str">
        <f t="shared" si="7"/>
        <v/>
      </c>
    </row>
    <row r="16" spans="1:51">
      <c r="A16" s="32" t="s">
        <v>32</v>
      </c>
      <c r="B16" s="31">
        <v>40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>
        <v>229.93</v>
      </c>
      <c r="AK16" s="31"/>
      <c r="AL16" s="31">
        <f t="shared" si="4"/>
        <v>9197.2000000000007</v>
      </c>
      <c r="AM16" s="31">
        <f t="shared" si="5"/>
        <v>9197.2000000000007</v>
      </c>
      <c r="AN16" s="31"/>
      <c r="AO16" s="31"/>
      <c r="AP16" s="31" t="str">
        <f t="shared" si="6"/>
        <v/>
      </c>
      <c r="AQ16" s="31"/>
      <c r="AR16" s="31"/>
      <c r="AS16" s="31"/>
      <c r="AT16" s="31"/>
      <c r="AU16" s="31"/>
      <c r="AV16" s="31"/>
      <c r="AW16" s="31"/>
      <c r="AX16" s="31"/>
      <c r="AY16" s="31"/>
    </row>
    <row r="17" spans="1:51">
      <c r="A17" s="32" t="s">
        <v>33</v>
      </c>
      <c r="B17" s="31">
        <v>10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>
        <v>102.82</v>
      </c>
      <c r="AK17" s="31"/>
      <c r="AL17" s="31">
        <f t="shared" si="4"/>
        <v>1028.2</v>
      </c>
      <c r="AM17" s="31">
        <f t="shared" si="5"/>
        <v>1028.2</v>
      </c>
      <c r="AN17" s="31"/>
      <c r="AO17" s="31"/>
      <c r="AP17" s="31" t="str">
        <f t="shared" si="6"/>
        <v/>
      </c>
      <c r="AQ17" s="31"/>
      <c r="AR17" s="31"/>
      <c r="AS17" s="31"/>
      <c r="AT17" s="31"/>
      <c r="AU17" s="31"/>
      <c r="AV17" s="31"/>
      <c r="AW17" s="31"/>
      <c r="AX17" s="31"/>
      <c r="AY17" s="31"/>
    </row>
    <row r="18" spans="1:51">
      <c r="A18" s="31" t="s">
        <v>34</v>
      </c>
      <c r="B18" s="31">
        <v>20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>
        <v>193.57</v>
      </c>
      <c r="AG18" s="31"/>
      <c r="AH18" s="31"/>
      <c r="AI18" s="31"/>
      <c r="AJ18" s="31">
        <v>280.06</v>
      </c>
      <c r="AK18" s="31"/>
      <c r="AL18" s="31">
        <f t="shared" si="4"/>
        <v>1729.8</v>
      </c>
      <c r="AM18" s="31">
        <f t="shared" si="5"/>
        <v>1729.8</v>
      </c>
      <c r="AN18" s="31"/>
      <c r="AO18" s="31"/>
      <c r="AP18" s="31" t="str">
        <f t="shared" si="6"/>
        <v/>
      </c>
      <c r="AQ18" s="31"/>
      <c r="AR18" s="31"/>
      <c r="AS18" s="31"/>
      <c r="AT18" s="31" t="str">
        <f t="shared" si="8"/>
        <v/>
      </c>
      <c r="AU18" s="31"/>
      <c r="AV18" s="31"/>
      <c r="AW18" s="31"/>
      <c r="AX18" s="31" t="str">
        <f t="shared" si="9"/>
        <v/>
      </c>
      <c r="AY18" s="31" t="str">
        <f t="shared" si="7"/>
        <v/>
      </c>
    </row>
    <row r="19" spans="1:51">
      <c r="A19" s="32" t="s">
        <v>35</v>
      </c>
      <c r="B19" s="31">
        <v>40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>
        <v>122.07</v>
      </c>
      <c r="AK19" s="31"/>
      <c r="AL19" s="31">
        <f t="shared" si="4"/>
        <v>4882.8</v>
      </c>
      <c r="AM19" s="31">
        <f t="shared" si="5"/>
        <v>4882.8</v>
      </c>
      <c r="AN19" s="31"/>
      <c r="AO19" s="31"/>
      <c r="AP19" s="31" t="str">
        <f t="shared" si="6"/>
        <v/>
      </c>
      <c r="AQ19" s="31"/>
      <c r="AR19" s="31"/>
      <c r="AS19" s="31"/>
      <c r="AT19" s="31"/>
      <c r="AU19" s="31"/>
      <c r="AV19" s="31"/>
      <c r="AW19" s="31"/>
      <c r="AX19" s="31"/>
      <c r="AY19" s="31"/>
    </row>
    <row r="20" spans="1:51">
      <c r="A20" s="32" t="s">
        <v>36</v>
      </c>
      <c r="B20" s="31">
        <v>10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>
        <v>74.77</v>
      </c>
      <c r="AK20" s="31"/>
      <c r="AL20" s="31">
        <f t="shared" si="4"/>
        <v>747.7</v>
      </c>
      <c r="AM20" s="31">
        <f t="shared" si="5"/>
        <v>747.7</v>
      </c>
      <c r="AN20" s="31"/>
      <c r="AO20" s="31"/>
      <c r="AP20" s="31" t="str">
        <f t="shared" si="6"/>
        <v/>
      </c>
      <c r="AQ20" s="31"/>
      <c r="AR20" s="31"/>
      <c r="AS20" s="31"/>
      <c r="AT20" s="31"/>
      <c r="AU20" s="31"/>
      <c r="AV20" s="31"/>
      <c r="AW20" s="31"/>
      <c r="AX20" s="31"/>
      <c r="AY20" s="31"/>
    </row>
    <row r="21" spans="1:51">
      <c r="A21" s="31" t="s">
        <v>37</v>
      </c>
      <c r="B21" s="31">
        <v>20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>
        <v>75.599999999999994</v>
      </c>
      <c r="AG21" s="31"/>
      <c r="AH21" s="31"/>
      <c r="AI21" s="31"/>
      <c r="AJ21" s="31">
        <v>87.28</v>
      </c>
      <c r="AK21" s="31"/>
      <c r="AL21" s="31">
        <f t="shared" si="4"/>
        <v>233.6</v>
      </c>
      <c r="AM21" s="31">
        <f t="shared" si="5"/>
        <v>233.6</v>
      </c>
      <c r="AN21" s="31"/>
      <c r="AO21" s="31"/>
      <c r="AP21" s="31" t="str">
        <f t="shared" si="6"/>
        <v/>
      </c>
      <c r="AQ21" s="31"/>
      <c r="AR21" s="31"/>
      <c r="AS21" s="31"/>
      <c r="AT21" s="31" t="str">
        <f t="shared" si="8"/>
        <v/>
      </c>
      <c r="AU21" s="31"/>
      <c r="AV21" s="31"/>
      <c r="AW21" s="31"/>
      <c r="AX21" s="31" t="str">
        <f t="shared" si="9"/>
        <v/>
      </c>
      <c r="AY21" s="31" t="str">
        <f t="shared" si="7"/>
        <v/>
      </c>
    </row>
    <row r="22" spans="1:51">
      <c r="A22" s="31" t="s">
        <v>38</v>
      </c>
      <c r="B22" s="31">
        <v>20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>
        <v>74.31</v>
      </c>
      <c r="AG22" s="31"/>
      <c r="AH22" s="31"/>
      <c r="AI22" s="31"/>
      <c r="AJ22" s="31">
        <v>88.42</v>
      </c>
      <c r="AK22" s="31"/>
      <c r="AL22" s="31">
        <f t="shared" si="4"/>
        <v>282.2</v>
      </c>
      <c r="AM22" s="31">
        <f t="shared" si="5"/>
        <v>282.2</v>
      </c>
      <c r="AN22" s="31"/>
      <c r="AO22" s="31"/>
      <c r="AP22" s="31" t="str">
        <f t="shared" si="6"/>
        <v/>
      </c>
      <c r="AQ22" s="31"/>
      <c r="AR22" s="31"/>
      <c r="AS22" s="31"/>
      <c r="AT22" s="31" t="str">
        <f t="shared" si="8"/>
        <v/>
      </c>
      <c r="AU22" s="31"/>
      <c r="AV22" s="31"/>
      <c r="AW22" s="31"/>
      <c r="AX22" s="31" t="str">
        <f t="shared" si="9"/>
        <v/>
      </c>
      <c r="AY22" s="31" t="str">
        <f t="shared" si="7"/>
        <v/>
      </c>
    </row>
    <row r="23" spans="1:51">
      <c r="A23" s="32" t="s">
        <v>39</v>
      </c>
      <c r="B23" s="31">
        <v>40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>
        <v>128.65</v>
      </c>
      <c r="AK23" s="31"/>
      <c r="AL23" s="31">
        <f t="shared" si="4"/>
        <v>5146</v>
      </c>
      <c r="AM23" s="31">
        <f t="shared" si="5"/>
        <v>5146</v>
      </c>
      <c r="AN23" s="31"/>
      <c r="AO23" s="31"/>
      <c r="AP23" s="31" t="str">
        <f t="shared" si="6"/>
        <v/>
      </c>
      <c r="AQ23" s="31"/>
      <c r="AR23" s="31"/>
      <c r="AS23" s="31"/>
      <c r="AT23" s="31"/>
      <c r="AU23" s="31"/>
      <c r="AV23" s="31"/>
      <c r="AW23" s="31"/>
      <c r="AX23" s="31"/>
      <c r="AY23" s="31"/>
    </row>
    <row r="24" spans="1:51">
      <c r="A24" s="32" t="s">
        <v>40</v>
      </c>
      <c r="B24" s="31">
        <v>10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>
        <v>74.23</v>
      </c>
      <c r="AK24" s="31"/>
      <c r="AL24" s="31">
        <f t="shared" si="4"/>
        <v>742.3</v>
      </c>
      <c r="AM24" s="31">
        <f t="shared" si="5"/>
        <v>742.3</v>
      </c>
      <c r="AN24" s="31"/>
      <c r="AO24" s="31"/>
      <c r="AP24" s="31" t="str">
        <f t="shared" si="6"/>
        <v/>
      </c>
      <c r="AQ24" s="31"/>
      <c r="AR24" s="31"/>
      <c r="AS24" s="31"/>
      <c r="AT24" s="31"/>
      <c r="AU24" s="31"/>
      <c r="AV24" s="31"/>
      <c r="AW24" s="31"/>
      <c r="AX24" s="31"/>
      <c r="AY24" s="31"/>
    </row>
    <row r="25" spans="1:51">
      <c r="A25" s="31" t="s">
        <v>41</v>
      </c>
      <c r="B25" s="31">
        <v>1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>
        <v>0</v>
      </c>
      <c r="AG25" s="31"/>
      <c r="AH25" s="31"/>
      <c r="AI25" s="31"/>
      <c r="AJ25" s="31">
        <v>38.99</v>
      </c>
      <c r="AK25" s="31"/>
      <c r="AL25" s="31">
        <f t="shared" si="4"/>
        <v>38.99</v>
      </c>
      <c r="AM25" s="31">
        <f t="shared" si="5"/>
        <v>38.99</v>
      </c>
      <c r="AN25" s="31"/>
      <c r="AO25" s="31"/>
      <c r="AP25" s="31" t="str">
        <f t="shared" si="6"/>
        <v/>
      </c>
      <c r="AQ25" s="31"/>
      <c r="AR25" s="31"/>
      <c r="AS25" s="31"/>
      <c r="AT25" s="31" t="str">
        <f t="shared" si="8"/>
        <v/>
      </c>
      <c r="AU25" s="31"/>
      <c r="AV25" s="31"/>
      <c r="AW25" s="31"/>
      <c r="AX25" s="31" t="str">
        <f t="shared" si="9"/>
        <v/>
      </c>
      <c r="AY25" s="31" t="str">
        <f t="shared" si="7"/>
        <v/>
      </c>
    </row>
    <row r="26" spans="1:51">
      <c r="A26" s="31" t="s">
        <v>42</v>
      </c>
      <c r="B26" s="31">
        <v>1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>
        <v>0</v>
      </c>
      <c r="AG26" s="31"/>
      <c r="AH26" s="31"/>
      <c r="AI26" s="31"/>
      <c r="AJ26" s="31">
        <v>31.85</v>
      </c>
      <c r="AK26" s="31"/>
      <c r="AL26" s="31">
        <f t="shared" si="4"/>
        <v>31.85</v>
      </c>
      <c r="AM26" s="31">
        <f t="shared" si="5"/>
        <v>31.85</v>
      </c>
      <c r="AN26" s="31"/>
      <c r="AO26" s="31"/>
      <c r="AP26" s="31" t="str">
        <f t="shared" si="6"/>
        <v/>
      </c>
      <c r="AQ26" s="31"/>
      <c r="AR26" s="31"/>
      <c r="AS26" s="31"/>
      <c r="AT26" s="31" t="str">
        <f t="shared" si="8"/>
        <v/>
      </c>
      <c r="AU26" s="31"/>
      <c r="AV26" s="31"/>
      <c r="AW26" s="31"/>
      <c r="AX26" s="31" t="str">
        <f t="shared" si="9"/>
        <v/>
      </c>
      <c r="AY26" s="31" t="str">
        <f t="shared" si="7"/>
        <v/>
      </c>
    </row>
    <row r="27" spans="1:51">
      <c r="A27" s="32" t="s">
        <v>43</v>
      </c>
      <c r="B27" s="31">
        <v>40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>
        <v>133.97</v>
      </c>
      <c r="AK27" s="31"/>
      <c r="AL27" s="31">
        <f t="shared" si="4"/>
        <v>5358.8</v>
      </c>
      <c r="AM27" s="31">
        <f t="shared" si="5"/>
        <v>5358.8</v>
      </c>
      <c r="AN27" s="31"/>
      <c r="AO27" s="31"/>
      <c r="AP27" s="31" t="str">
        <f t="shared" si="6"/>
        <v/>
      </c>
      <c r="AQ27" s="31"/>
      <c r="AR27" s="31"/>
      <c r="AS27" s="31"/>
      <c r="AT27" s="31"/>
      <c r="AU27" s="31"/>
      <c r="AV27" s="31"/>
      <c r="AW27" s="31"/>
      <c r="AX27" s="31"/>
      <c r="AY27" s="31"/>
    </row>
    <row r="28" spans="1:51">
      <c r="A28" s="32" t="s">
        <v>44</v>
      </c>
      <c r="B28" s="31">
        <v>10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>
        <v>152.26</v>
      </c>
      <c r="AK28" s="31"/>
      <c r="AL28" s="31">
        <f t="shared" si="4"/>
        <v>1522.6</v>
      </c>
      <c r="AM28" s="31">
        <f t="shared" si="5"/>
        <v>1522.6</v>
      </c>
      <c r="AN28" s="31"/>
      <c r="AO28" s="31"/>
      <c r="AP28" s="31" t="str">
        <f t="shared" si="6"/>
        <v/>
      </c>
      <c r="AQ28" s="31"/>
      <c r="AR28" s="31"/>
      <c r="AS28" s="31"/>
      <c r="AT28" s="31"/>
      <c r="AU28" s="31"/>
      <c r="AV28" s="31"/>
      <c r="AW28" s="31"/>
      <c r="AX28" s="31"/>
      <c r="AY28" s="31"/>
    </row>
    <row r="29" spans="1:51">
      <c r="A29" s="31" t="s">
        <v>45</v>
      </c>
      <c r="B29" s="31">
        <v>20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>
        <v>80.27</v>
      </c>
      <c r="AG29" s="31"/>
      <c r="AH29" s="31"/>
      <c r="AI29" s="31"/>
      <c r="AJ29" s="31">
        <v>81.64</v>
      </c>
      <c r="AK29" s="31">
        <v>35.54</v>
      </c>
      <c r="AL29" s="31">
        <f t="shared" si="4"/>
        <v>27.400000000000102</v>
      </c>
      <c r="AM29" s="31">
        <f t="shared" si="5"/>
        <v>62.940000000000097</v>
      </c>
      <c r="AN29" s="31"/>
      <c r="AO29" s="31"/>
      <c r="AP29" s="31" t="str">
        <f t="shared" si="6"/>
        <v/>
      </c>
      <c r="AQ29" s="31"/>
      <c r="AR29" s="31"/>
      <c r="AS29" s="31"/>
      <c r="AT29" s="31" t="str">
        <f t="shared" si="8"/>
        <v/>
      </c>
      <c r="AU29" s="31"/>
      <c r="AV29" s="31"/>
      <c r="AW29" s="31"/>
      <c r="AX29" s="31" t="str">
        <f t="shared" si="9"/>
        <v/>
      </c>
      <c r="AY29" s="31" t="str">
        <f t="shared" si="7"/>
        <v/>
      </c>
    </row>
    <row r="30" spans="1:51">
      <c r="A30" s="31" t="s">
        <v>46</v>
      </c>
      <c r="B30" s="31">
        <v>1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>
        <v>0</v>
      </c>
      <c r="AG30" s="31"/>
      <c r="AH30" s="31"/>
      <c r="AI30" s="31"/>
      <c r="AJ30" s="31">
        <v>4.5999999999999996</v>
      </c>
      <c r="AK30" s="31"/>
      <c r="AL30" s="31">
        <f t="shared" si="4"/>
        <v>4.5999999999999996</v>
      </c>
      <c r="AM30" s="31">
        <f t="shared" si="5"/>
        <v>4.5999999999999996</v>
      </c>
      <c r="AN30" s="31"/>
      <c r="AO30" s="31"/>
      <c r="AP30" s="31" t="str">
        <f t="shared" si="6"/>
        <v/>
      </c>
      <c r="AQ30" s="31"/>
      <c r="AR30" s="31"/>
      <c r="AS30" s="31"/>
      <c r="AT30" s="31" t="str">
        <f t="shared" si="8"/>
        <v/>
      </c>
      <c r="AU30" s="31"/>
      <c r="AV30" s="31"/>
      <c r="AW30" s="31"/>
      <c r="AX30" s="31" t="str">
        <f t="shared" si="9"/>
        <v/>
      </c>
      <c r="AY30" s="31" t="str">
        <f t="shared" si="7"/>
        <v/>
      </c>
    </row>
    <row r="31" spans="1:51">
      <c r="A31" s="31" t="s">
        <v>47</v>
      </c>
      <c r="B31" s="31">
        <v>1</v>
      </c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>
        <v>0</v>
      </c>
      <c r="AG31" s="31"/>
      <c r="AH31" s="31"/>
      <c r="AI31" s="31"/>
      <c r="AJ31" s="31">
        <v>31.37</v>
      </c>
      <c r="AK31" s="31"/>
      <c r="AL31" s="31">
        <f t="shared" si="4"/>
        <v>31.37</v>
      </c>
      <c r="AM31" s="31">
        <f t="shared" si="5"/>
        <v>31.37</v>
      </c>
      <c r="AN31" s="31"/>
      <c r="AO31" s="31"/>
      <c r="AP31" s="31" t="str">
        <f t="shared" si="6"/>
        <v/>
      </c>
      <c r="AQ31" s="31"/>
      <c r="AR31" s="31"/>
      <c r="AS31" s="31"/>
      <c r="AT31" s="31" t="str">
        <f t="shared" si="8"/>
        <v/>
      </c>
      <c r="AU31" s="31"/>
      <c r="AV31" s="31"/>
      <c r="AW31" s="31"/>
      <c r="AX31" s="31" t="str">
        <f t="shared" si="9"/>
        <v/>
      </c>
      <c r="AY31" s="31" t="str">
        <f t="shared" si="7"/>
        <v/>
      </c>
    </row>
    <row r="32" spans="1:51">
      <c r="A32" s="31" t="s">
        <v>48</v>
      </c>
      <c r="B32" s="31">
        <v>1</v>
      </c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>
        <v>0</v>
      </c>
      <c r="AG32" s="31"/>
      <c r="AH32" s="31"/>
      <c r="AI32" s="31"/>
      <c r="AJ32" s="31">
        <v>36.049999999999997</v>
      </c>
      <c r="AK32" s="31"/>
      <c r="AL32" s="31">
        <f t="shared" si="4"/>
        <v>36.049999999999997</v>
      </c>
      <c r="AM32" s="31">
        <f t="shared" si="5"/>
        <v>36.049999999999997</v>
      </c>
      <c r="AN32" s="31"/>
      <c r="AO32" s="31"/>
      <c r="AP32" s="31" t="str">
        <f t="shared" si="6"/>
        <v/>
      </c>
      <c r="AQ32" s="31"/>
      <c r="AR32" s="31"/>
      <c r="AS32" s="31"/>
      <c r="AT32" s="31" t="str">
        <f t="shared" si="8"/>
        <v/>
      </c>
      <c r="AU32" s="31"/>
      <c r="AV32" s="31"/>
      <c r="AW32" s="31"/>
      <c r="AX32" s="31" t="str">
        <f t="shared" si="9"/>
        <v/>
      </c>
      <c r="AY32" s="31" t="str">
        <f t="shared" si="7"/>
        <v/>
      </c>
    </row>
    <row r="33" spans="1:51">
      <c r="A33" s="32" t="s">
        <v>49</v>
      </c>
      <c r="B33" s="31">
        <v>40</v>
      </c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>
        <v>432.97</v>
      </c>
      <c r="AK33" s="31"/>
      <c r="AL33" s="31">
        <f t="shared" si="4"/>
        <v>17318.8</v>
      </c>
      <c r="AM33" s="31">
        <f t="shared" si="5"/>
        <v>17318.8</v>
      </c>
      <c r="AN33" s="31"/>
      <c r="AO33" s="31"/>
      <c r="AP33" s="31" t="str">
        <f t="shared" si="6"/>
        <v/>
      </c>
      <c r="AQ33" s="31"/>
      <c r="AR33" s="31"/>
      <c r="AS33" s="31"/>
      <c r="AT33" s="31" t="str">
        <f t="shared" si="8"/>
        <v/>
      </c>
      <c r="AU33" s="31"/>
      <c r="AV33" s="31"/>
      <c r="AW33" s="31"/>
      <c r="AX33" s="31" t="str">
        <f t="shared" si="9"/>
        <v/>
      </c>
      <c r="AY33" s="31" t="str">
        <f t="shared" si="7"/>
        <v/>
      </c>
    </row>
    <row r="34" spans="1:51">
      <c r="A34" s="32" t="s">
        <v>50</v>
      </c>
      <c r="B34" s="31">
        <v>10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>
        <v>155.44999999999999</v>
      </c>
      <c r="AK34" s="31"/>
      <c r="AL34" s="31">
        <f t="shared" si="4"/>
        <v>1554.5</v>
      </c>
      <c r="AM34" s="31">
        <f t="shared" si="5"/>
        <v>1554.5</v>
      </c>
      <c r="AN34" s="31"/>
      <c r="AO34" s="31"/>
      <c r="AP34" s="31" t="str">
        <f t="shared" si="6"/>
        <v/>
      </c>
      <c r="AQ34" s="31"/>
      <c r="AR34" s="31"/>
      <c r="AS34" s="31"/>
      <c r="AT34" s="31"/>
      <c r="AU34" s="31"/>
      <c r="AV34" s="31"/>
      <c r="AW34" s="31"/>
      <c r="AX34" s="31"/>
      <c r="AY34" s="31"/>
    </row>
    <row r="35" spans="1:51">
      <c r="A35" s="31" t="s">
        <v>51</v>
      </c>
      <c r="B35" s="31">
        <v>1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>
        <v>56.03</v>
      </c>
      <c r="AG35" s="31"/>
      <c r="AH35" s="31"/>
      <c r="AI35" s="31"/>
      <c r="AJ35" s="31">
        <v>138.43</v>
      </c>
      <c r="AK35" s="31"/>
      <c r="AL35" s="31">
        <f t="shared" si="4"/>
        <v>82.4</v>
      </c>
      <c r="AM35" s="31">
        <f t="shared" si="5"/>
        <v>82.4</v>
      </c>
      <c r="AN35" s="31"/>
      <c r="AO35" s="31"/>
      <c r="AP35" s="31" t="str">
        <f t="shared" si="6"/>
        <v/>
      </c>
      <c r="AQ35" s="31"/>
      <c r="AR35" s="31"/>
      <c r="AS35" s="31"/>
      <c r="AT35" s="31" t="str">
        <f t="shared" si="8"/>
        <v/>
      </c>
      <c r="AU35" s="31"/>
      <c r="AV35" s="31"/>
      <c r="AW35" s="31"/>
      <c r="AX35" s="31" t="str">
        <f t="shared" si="9"/>
        <v/>
      </c>
      <c r="AY35" s="31" t="str">
        <f t="shared" si="7"/>
        <v/>
      </c>
    </row>
    <row r="36" spans="1:51">
      <c r="A36" s="31" t="s">
        <v>52</v>
      </c>
      <c r="B36" s="31">
        <v>1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>
        <v>146.28</v>
      </c>
      <c r="AG36" s="31"/>
      <c r="AH36" s="31"/>
      <c r="AI36" s="31"/>
      <c r="AJ36" s="31">
        <v>396.46</v>
      </c>
      <c r="AK36" s="31"/>
      <c r="AL36" s="31">
        <f t="shared" si="4"/>
        <v>250.18</v>
      </c>
      <c r="AM36" s="31">
        <f t="shared" si="5"/>
        <v>250.18</v>
      </c>
      <c r="AN36" s="31"/>
      <c r="AO36" s="31"/>
      <c r="AP36" s="31" t="str">
        <f t="shared" si="6"/>
        <v/>
      </c>
      <c r="AQ36" s="31"/>
      <c r="AR36" s="31"/>
      <c r="AS36" s="31"/>
      <c r="AT36" s="31" t="str">
        <f t="shared" si="8"/>
        <v/>
      </c>
      <c r="AU36" s="31"/>
      <c r="AV36" s="31"/>
      <c r="AW36" s="31"/>
      <c r="AX36" s="31" t="str">
        <f t="shared" si="9"/>
        <v/>
      </c>
      <c r="AY36" s="31" t="str">
        <f t="shared" si="7"/>
        <v/>
      </c>
    </row>
    <row r="37" spans="1:51">
      <c r="A37" s="31" t="s">
        <v>53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 t="str">
        <f t="shared" si="4"/>
        <v/>
      </c>
      <c r="AM37" s="31" t="str">
        <f t="shared" si="5"/>
        <v/>
      </c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</row>
    <row r="38" spans="1:51">
      <c r="A38" s="31" t="s">
        <v>54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 t="str">
        <f t="shared" si="4"/>
        <v/>
      </c>
      <c r="AM38" s="31" t="str">
        <f t="shared" si="5"/>
        <v/>
      </c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</row>
    <row r="39" spans="1:51">
      <c r="A39" s="31" t="s">
        <v>55</v>
      </c>
      <c r="B39" s="31">
        <v>20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>
        <v>496.83</v>
      </c>
      <c r="AK39" s="31"/>
      <c r="AL39" s="31">
        <f t="shared" si="4"/>
        <v>9936.6</v>
      </c>
      <c r="AM39" s="31">
        <f t="shared" si="5"/>
        <v>9936.6</v>
      </c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</row>
    <row r="40" spans="1:51">
      <c r="A40" s="31" t="s">
        <v>56</v>
      </c>
      <c r="B40" s="31">
        <v>20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>
        <v>10.74</v>
      </c>
      <c r="AK40" s="31"/>
      <c r="AL40" s="31">
        <f t="shared" si="4"/>
        <v>214.8</v>
      </c>
      <c r="AM40" s="31">
        <f t="shared" si="5"/>
        <v>214.8</v>
      </c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</row>
    <row r="41" spans="1:51">
      <c r="A41" s="31" t="s">
        <v>57</v>
      </c>
      <c r="B41" s="31">
        <v>1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>
        <v>0</v>
      </c>
      <c r="AK41" s="31"/>
      <c r="AL41" s="31"/>
      <c r="AM41" s="31" t="str">
        <f t="shared" si="5"/>
        <v/>
      </c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</row>
    <row r="42" spans="1:51">
      <c r="A42" s="31" t="s">
        <v>58</v>
      </c>
      <c r="B42" s="31">
        <v>1</v>
      </c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>
        <v>0</v>
      </c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</row>
  </sheetData>
  <mergeCells count="15">
    <mergeCell ref="AR1:AU1"/>
    <mergeCell ref="AV1:AY1"/>
    <mergeCell ref="A1:A2"/>
    <mergeCell ref="B1:B2"/>
    <mergeCell ref="C1:C2"/>
    <mergeCell ref="X1:AA1"/>
    <mergeCell ref="AB1:AE1"/>
    <mergeCell ref="AF1:AI1"/>
    <mergeCell ref="AJ1:AM1"/>
    <mergeCell ref="AN1:AQ1"/>
    <mergeCell ref="D1:G1"/>
    <mergeCell ref="H1:K1"/>
    <mergeCell ref="L1:O1"/>
    <mergeCell ref="P1:S1"/>
    <mergeCell ref="T1:W1"/>
  </mergeCells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33"/>
  <sheetViews>
    <sheetView topLeftCell="A86" zoomScale="91" zoomScaleNormal="91" workbookViewId="0">
      <selection activeCell="E143" sqref="E143"/>
    </sheetView>
  </sheetViews>
  <sheetFormatPr baseColWidth="10" defaultColWidth="9" defaultRowHeight="14"/>
  <cols>
    <col min="1" max="5" width="15.6640625" customWidth="1"/>
    <col min="7" max="11" width="15.6640625" customWidth="1"/>
    <col min="13" max="17" width="15.6640625" customWidth="1"/>
    <col min="20" max="20" width="13.83203125" customWidth="1"/>
    <col min="21" max="21" width="15.33203125" customWidth="1"/>
    <col min="22" max="22" width="18.83203125" customWidth="1"/>
    <col min="23" max="23" width="25.33203125" customWidth="1"/>
    <col min="26" max="27" width="12.5" customWidth="1"/>
    <col min="28" max="28" width="15" customWidth="1"/>
    <col min="29" max="29" width="19.33203125" customWidth="1"/>
  </cols>
  <sheetData>
    <row r="1" spans="1:29" ht="40" customHeight="1">
      <c r="A1" s="35" t="s">
        <v>59</v>
      </c>
      <c r="B1" s="35"/>
      <c r="C1" s="35"/>
      <c r="D1" s="35"/>
      <c r="E1" s="35"/>
      <c r="G1" s="36" t="s">
        <v>60</v>
      </c>
      <c r="H1" s="36"/>
      <c r="I1" s="36"/>
      <c r="J1" s="36"/>
      <c r="K1" s="36"/>
      <c r="M1" s="35" t="s">
        <v>61</v>
      </c>
      <c r="N1" s="35"/>
      <c r="O1" s="35"/>
      <c r="P1" s="35"/>
      <c r="Q1" s="35"/>
      <c r="S1" s="35" t="s">
        <v>62</v>
      </c>
      <c r="T1" s="35"/>
      <c r="U1" s="35"/>
      <c r="V1" s="35"/>
      <c r="W1" s="35"/>
      <c r="Y1" s="36" t="s">
        <v>63</v>
      </c>
      <c r="Z1" s="36"/>
      <c r="AA1" s="36"/>
      <c r="AB1" s="36"/>
      <c r="AC1" s="36"/>
    </row>
    <row r="2" spans="1:29" ht="20" customHeight="1">
      <c r="A2" s="6" t="s">
        <v>64</v>
      </c>
      <c r="B2" s="6" t="s">
        <v>65</v>
      </c>
      <c r="C2" s="6" t="s">
        <v>66</v>
      </c>
      <c r="D2" s="6" t="s">
        <v>67</v>
      </c>
      <c r="E2" s="6" t="s">
        <v>68</v>
      </c>
      <c r="G2" s="6" t="s">
        <v>64</v>
      </c>
      <c r="H2" s="6" t="s">
        <v>65</v>
      </c>
      <c r="I2" s="6" t="s">
        <v>66</v>
      </c>
      <c r="J2" s="6" t="s">
        <v>67</v>
      </c>
      <c r="K2" s="6" t="s">
        <v>68</v>
      </c>
      <c r="M2" s="6" t="s">
        <v>64</v>
      </c>
      <c r="N2" s="6" t="s">
        <v>65</v>
      </c>
      <c r="O2" s="6" t="s">
        <v>66</v>
      </c>
      <c r="P2" s="6" t="s">
        <v>67</v>
      </c>
      <c r="Q2" s="6" t="s">
        <v>68</v>
      </c>
      <c r="S2" s="6" t="s">
        <v>64</v>
      </c>
      <c r="T2" s="6" t="s">
        <v>65</v>
      </c>
      <c r="U2" s="6" t="s">
        <v>66</v>
      </c>
      <c r="V2" s="6" t="s">
        <v>67</v>
      </c>
      <c r="W2" s="6" t="s">
        <v>68</v>
      </c>
      <c r="Y2" s="6" t="s">
        <v>64</v>
      </c>
      <c r="Z2" s="6" t="s">
        <v>65</v>
      </c>
      <c r="AA2" s="6" t="s">
        <v>66</v>
      </c>
      <c r="AB2" s="6" t="s">
        <v>67</v>
      </c>
      <c r="AC2" s="6" t="s">
        <v>68</v>
      </c>
    </row>
    <row r="3" spans="1:29" ht="20" customHeight="1">
      <c r="A3" s="6">
        <v>1</v>
      </c>
      <c r="B3" s="6"/>
      <c r="C3" s="6">
        <v>20</v>
      </c>
      <c r="D3" s="6"/>
      <c r="E3" s="6">
        <f t="shared" ref="E3:E14" si="0">(D3-B3)*C3</f>
        <v>0</v>
      </c>
      <c r="G3" s="6">
        <v>1</v>
      </c>
      <c r="H3" s="6"/>
      <c r="I3" s="6">
        <v>40</v>
      </c>
      <c r="J3" s="6"/>
      <c r="K3" s="6">
        <f t="shared" ref="K3:K14" si="1">(J3-H3)*I3</f>
        <v>0</v>
      </c>
      <c r="M3" s="6">
        <v>1</v>
      </c>
      <c r="N3" s="6"/>
      <c r="O3" s="6">
        <v>10</v>
      </c>
      <c r="P3" s="6"/>
      <c r="Q3" s="6">
        <f t="shared" ref="Q3:Q14" si="2">(P3-N3)*O3</f>
        <v>0</v>
      </c>
      <c r="S3" s="6">
        <v>1</v>
      </c>
      <c r="T3" s="6"/>
      <c r="U3" s="6">
        <v>20</v>
      </c>
      <c r="V3" s="6"/>
      <c r="W3" s="6">
        <f t="shared" ref="W3:W14" si="3">(V3-T3)*U3</f>
        <v>0</v>
      </c>
      <c r="Y3" s="6">
        <v>1</v>
      </c>
      <c r="Z3" s="6"/>
      <c r="AA3" s="6">
        <v>1</v>
      </c>
      <c r="AB3" s="6"/>
      <c r="AC3" s="6">
        <f t="shared" ref="AC3:AC14" si="4">(AB3-Z3)*AA3</f>
        <v>0</v>
      </c>
    </row>
    <row r="4" spans="1:29" ht="20" customHeight="1">
      <c r="A4" s="6">
        <v>2</v>
      </c>
      <c r="B4" s="6">
        <v>1571.23</v>
      </c>
      <c r="C4" s="6">
        <v>20</v>
      </c>
      <c r="D4" s="6">
        <v>1595.56</v>
      </c>
      <c r="E4" s="6">
        <f t="shared" si="0"/>
        <v>486.599999999999</v>
      </c>
      <c r="G4" s="6">
        <v>2</v>
      </c>
      <c r="H4" s="6"/>
      <c r="I4" s="6">
        <v>40</v>
      </c>
      <c r="J4" s="6"/>
      <c r="K4" s="6">
        <f t="shared" si="1"/>
        <v>0</v>
      </c>
      <c r="M4" s="6">
        <v>2</v>
      </c>
      <c r="N4" s="6"/>
      <c r="O4" s="6">
        <v>10</v>
      </c>
      <c r="P4" s="6"/>
      <c r="Q4" s="6">
        <f t="shared" si="2"/>
        <v>0</v>
      </c>
      <c r="S4" s="6">
        <v>2</v>
      </c>
      <c r="T4" s="6"/>
      <c r="U4" s="6">
        <v>20</v>
      </c>
      <c r="V4" s="6"/>
      <c r="W4" s="6">
        <f t="shared" si="3"/>
        <v>0</v>
      </c>
      <c r="Y4" s="6">
        <v>2</v>
      </c>
      <c r="Z4" s="6"/>
      <c r="AA4" s="6">
        <v>1</v>
      </c>
      <c r="AB4" s="6"/>
      <c r="AC4" s="6">
        <f t="shared" si="4"/>
        <v>0</v>
      </c>
    </row>
    <row r="5" spans="1:29" ht="20" customHeight="1">
      <c r="A5" s="6">
        <v>3</v>
      </c>
      <c r="B5" s="6">
        <v>1595.56</v>
      </c>
      <c r="C5" s="6">
        <v>20</v>
      </c>
      <c r="D5" s="6">
        <v>1627.45</v>
      </c>
      <c r="E5" s="6">
        <f t="shared" si="0"/>
        <v>637.800000000002</v>
      </c>
      <c r="G5" s="6">
        <v>3</v>
      </c>
      <c r="H5" s="6"/>
      <c r="I5" s="6">
        <v>40</v>
      </c>
      <c r="J5" s="6"/>
      <c r="K5" s="6">
        <f t="shared" si="1"/>
        <v>0</v>
      </c>
      <c r="M5" s="6">
        <v>3</v>
      </c>
      <c r="N5" s="6"/>
      <c r="O5" s="6">
        <v>10</v>
      </c>
      <c r="P5" s="6"/>
      <c r="Q5" s="6">
        <f t="shared" si="2"/>
        <v>0</v>
      </c>
      <c r="S5" s="6">
        <v>3</v>
      </c>
      <c r="T5" s="6">
        <v>452.83</v>
      </c>
      <c r="U5" s="6">
        <v>20</v>
      </c>
      <c r="V5" s="6">
        <v>458.52</v>
      </c>
      <c r="W5" s="6">
        <f t="shared" si="3"/>
        <v>113.8</v>
      </c>
      <c r="Y5" s="6">
        <v>3</v>
      </c>
      <c r="Z5" s="6"/>
      <c r="AA5" s="6">
        <v>1</v>
      </c>
      <c r="AB5" s="6"/>
      <c r="AC5" s="6">
        <f t="shared" si="4"/>
        <v>0</v>
      </c>
    </row>
    <row r="6" spans="1:29" ht="20" customHeight="1">
      <c r="A6" s="6">
        <v>4</v>
      </c>
      <c r="B6" s="6">
        <v>1627.45</v>
      </c>
      <c r="C6" s="6">
        <v>20</v>
      </c>
      <c r="D6" s="7">
        <v>1644.8</v>
      </c>
      <c r="E6" s="6">
        <f t="shared" si="0"/>
        <v>346.99999999999801</v>
      </c>
      <c r="G6" s="6">
        <v>4</v>
      </c>
      <c r="H6" s="6"/>
      <c r="I6" s="6">
        <v>40</v>
      </c>
      <c r="J6" s="8"/>
      <c r="K6" s="6">
        <f t="shared" si="1"/>
        <v>0</v>
      </c>
      <c r="M6" s="6">
        <v>4</v>
      </c>
      <c r="N6" s="6"/>
      <c r="O6" s="6">
        <v>10</v>
      </c>
      <c r="P6" s="17"/>
      <c r="Q6" s="6">
        <f t="shared" si="2"/>
        <v>0</v>
      </c>
      <c r="S6" s="6">
        <v>4</v>
      </c>
      <c r="T6" s="6">
        <v>458.52</v>
      </c>
      <c r="U6" s="6">
        <v>20</v>
      </c>
      <c r="V6" s="17">
        <v>469.42</v>
      </c>
      <c r="W6" s="6">
        <f t="shared" si="3"/>
        <v>218.00000000000099</v>
      </c>
      <c r="Y6" s="6">
        <v>4</v>
      </c>
      <c r="Z6" s="6"/>
      <c r="AA6" s="6">
        <v>1</v>
      </c>
      <c r="AB6" s="8"/>
      <c r="AC6" s="6">
        <f t="shared" si="4"/>
        <v>0</v>
      </c>
    </row>
    <row r="7" spans="1:29" ht="20" customHeight="1">
      <c r="A7" s="6">
        <v>5</v>
      </c>
      <c r="B7" s="7">
        <v>1644.8</v>
      </c>
      <c r="C7" s="6">
        <v>20</v>
      </c>
      <c r="D7" s="6">
        <v>1675.37</v>
      </c>
      <c r="E7" s="6">
        <f t="shared" si="0"/>
        <v>611.39999999999895</v>
      </c>
      <c r="G7" s="6">
        <v>5</v>
      </c>
      <c r="H7" s="6"/>
      <c r="I7" s="6">
        <v>40</v>
      </c>
      <c r="J7" s="6"/>
      <c r="K7" s="6">
        <f t="shared" si="1"/>
        <v>0</v>
      </c>
      <c r="M7" s="6">
        <v>5</v>
      </c>
      <c r="N7" s="17"/>
      <c r="O7" s="6">
        <v>10</v>
      </c>
      <c r="P7" s="6"/>
      <c r="Q7" s="6">
        <f t="shared" si="2"/>
        <v>0</v>
      </c>
      <c r="S7" s="6">
        <v>5</v>
      </c>
      <c r="T7" s="17">
        <v>469.42</v>
      </c>
      <c r="U7" s="6">
        <v>20</v>
      </c>
      <c r="V7" s="6">
        <v>493.1</v>
      </c>
      <c r="W7" s="6">
        <f t="shared" si="3"/>
        <v>473.6</v>
      </c>
      <c r="Y7" s="6">
        <v>5</v>
      </c>
      <c r="Z7" s="6"/>
      <c r="AA7" s="6">
        <v>1</v>
      </c>
      <c r="AB7" s="6"/>
      <c r="AC7" s="6">
        <f t="shared" si="4"/>
        <v>0</v>
      </c>
    </row>
    <row r="8" spans="1:29" ht="20" customHeight="1">
      <c r="A8" s="6">
        <v>6</v>
      </c>
      <c r="B8" s="6">
        <v>1675.37</v>
      </c>
      <c r="C8" s="6">
        <v>20</v>
      </c>
      <c r="D8" s="6">
        <v>1695.36</v>
      </c>
      <c r="E8" s="6">
        <f t="shared" si="0"/>
        <v>399.8</v>
      </c>
      <c r="G8" s="6">
        <v>6</v>
      </c>
      <c r="H8" s="8">
        <v>1162.22</v>
      </c>
      <c r="I8" s="6">
        <v>40</v>
      </c>
      <c r="J8" s="6">
        <v>1187.72</v>
      </c>
      <c r="K8" s="6">
        <f t="shared" si="1"/>
        <v>1020</v>
      </c>
      <c r="M8" s="6">
        <v>6</v>
      </c>
      <c r="N8" s="6">
        <v>327.27999999999997</v>
      </c>
      <c r="O8" s="6">
        <v>10</v>
      </c>
      <c r="P8" s="6">
        <v>331.76</v>
      </c>
      <c r="Q8" s="6">
        <f t="shared" si="2"/>
        <v>44.800000000000203</v>
      </c>
      <c r="S8" s="6">
        <v>6</v>
      </c>
      <c r="T8" s="6">
        <v>493.1</v>
      </c>
      <c r="U8" s="6">
        <v>20</v>
      </c>
      <c r="V8" s="6">
        <v>522.07000000000005</v>
      </c>
      <c r="W8" s="6">
        <f t="shared" si="3"/>
        <v>579.400000000001</v>
      </c>
      <c r="Y8" s="6">
        <v>6</v>
      </c>
      <c r="Z8" s="8">
        <v>1130.55</v>
      </c>
      <c r="AA8" s="6">
        <v>1</v>
      </c>
      <c r="AB8" s="6">
        <v>1160.06</v>
      </c>
      <c r="AC8" s="6">
        <f t="shared" si="4"/>
        <v>29.51</v>
      </c>
    </row>
    <row r="9" spans="1:29" ht="20" customHeight="1">
      <c r="A9" s="6">
        <v>7</v>
      </c>
      <c r="B9" s="6">
        <v>1695.36</v>
      </c>
      <c r="C9" s="6">
        <v>20</v>
      </c>
      <c r="D9" s="6">
        <v>1724.63</v>
      </c>
      <c r="E9" s="6">
        <f t="shared" si="0"/>
        <v>585.40000000000396</v>
      </c>
      <c r="G9" s="6">
        <v>7</v>
      </c>
      <c r="H9" s="6">
        <v>1187.72</v>
      </c>
      <c r="I9" s="6">
        <v>40</v>
      </c>
      <c r="J9" s="6">
        <v>1222.4100000000001</v>
      </c>
      <c r="K9" s="6">
        <f t="shared" si="1"/>
        <v>1387.6</v>
      </c>
      <c r="M9" s="6">
        <v>7</v>
      </c>
      <c r="N9" s="6">
        <v>331.76</v>
      </c>
      <c r="O9" s="6">
        <v>10</v>
      </c>
      <c r="P9" s="6">
        <v>333.11</v>
      </c>
      <c r="Q9" s="6">
        <f t="shared" si="2"/>
        <v>13.500000000000201</v>
      </c>
      <c r="S9" s="6">
        <v>7</v>
      </c>
      <c r="T9" s="6">
        <v>522.07000000000005</v>
      </c>
      <c r="U9" s="6">
        <v>20</v>
      </c>
      <c r="V9" s="6">
        <v>561.39</v>
      </c>
      <c r="W9" s="6">
        <f t="shared" si="3"/>
        <v>786.39999999999895</v>
      </c>
      <c r="Y9" s="6">
        <v>7</v>
      </c>
      <c r="Z9" s="6">
        <v>1160.06</v>
      </c>
      <c r="AA9" s="6">
        <v>1</v>
      </c>
      <c r="AB9" s="6">
        <v>1200.1500000000001</v>
      </c>
      <c r="AC9" s="6">
        <f t="shared" si="4"/>
        <v>40.090000000000103</v>
      </c>
    </row>
    <row r="10" spans="1:29" ht="20" customHeight="1">
      <c r="A10" s="6">
        <v>8</v>
      </c>
      <c r="B10" s="6">
        <v>1724.63</v>
      </c>
      <c r="C10" s="6">
        <v>20</v>
      </c>
      <c r="D10" s="6">
        <v>1747.52</v>
      </c>
      <c r="E10" s="6">
        <f t="shared" si="0"/>
        <v>457.799999999997</v>
      </c>
      <c r="G10" s="6">
        <v>8</v>
      </c>
      <c r="H10" s="6">
        <v>1222.4100000000001</v>
      </c>
      <c r="I10" s="6">
        <v>40</v>
      </c>
      <c r="J10" s="6">
        <v>1252.3900000000001</v>
      </c>
      <c r="K10" s="6">
        <f t="shared" si="1"/>
        <v>1199.2</v>
      </c>
      <c r="M10" s="6">
        <v>8</v>
      </c>
      <c r="N10" s="6">
        <v>333.11</v>
      </c>
      <c r="O10" s="6">
        <v>10</v>
      </c>
      <c r="P10" s="6">
        <v>334.84</v>
      </c>
      <c r="Q10" s="6">
        <f t="shared" si="2"/>
        <v>17.299999999999599</v>
      </c>
      <c r="S10" s="6">
        <v>8</v>
      </c>
      <c r="T10" s="6">
        <v>561.39</v>
      </c>
      <c r="U10" s="6">
        <v>20</v>
      </c>
      <c r="V10" s="6">
        <v>597.29999999999995</v>
      </c>
      <c r="W10" s="6">
        <f t="shared" si="3"/>
        <v>718.19999999999902</v>
      </c>
      <c r="Y10" s="6">
        <v>8</v>
      </c>
      <c r="Z10" s="6">
        <v>1200.1500000000001</v>
      </c>
      <c r="AA10" s="6">
        <v>1</v>
      </c>
      <c r="AB10" s="6">
        <v>1239.1400000000001</v>
      </c>
      <c r="AC10" s="6">
        <f t="shared" si="4"/>
        <v>38.99</v>
      </c>
    </row>
    <row r="11" spans="1:29" ht="20" customHeight="1">
      <c r="A11" s="6">
        <v>9</v>
      </c>
      <c r="B11" s="6"/>
      <c r="C11" s="6">
        <v>20</v>
      </c>
      <c r="D11" s="6"/>
      <c r="E11" s="6">
        <f t="shared" si="0"/>
        <v>0</v>
      </c>
      <c r="G11" s="6">
        <v>9</v>
      </c>
      <c r="H11" s="6"/>
      <c r="I11" s="6">
        <v>40</v>
      </c>
      <c r="J11" s="6"/>
      <c r="K11" s="6">
        <f t="shared" si="1"/>
        <v>0</v>
      </c>
      <c r="M11" s="6">
        <v>9</v>
      </c>
      <c r="N11" s="6"/>
      <c r="O11" s="6">
        <v>10</v>
      </c>
      <c r="P11" s="6"/>
      <c r="Q11" s="6">
        <f t="shared" si="2"/>
        <v>0</v>
      </c>
      <c r="S11" s="6">
        <v>9</v>
      </c>
      <c r="T11" s="6"/>
      <c r="U11" s="6">
        <v>20</v>
      </c>
      <c r="V11" s="6"/>
      <c r="W11" s="6">
        <f t="shared" si="3"/>
        <v>0</v>
      </c>
      <c r="Y11" s="6">
        <v>9</v>
      </c>
      <c r="Z11" s="6"/>
      <c r="AA11" s="6">
        <v>1</v>
      </c>
      <c r="AB11" s="6"/>
      <c r="AC11" s="6">
        <f t="shared" si="4"/>
        <v>0</v>
      </c>
    </row>
    <row r="12" spans="1:29" ht="20" customHeight="1">
      <c r="A12" s="6">
        <v>10</v>
      </c>
      <c r="B12" s="6"/>
      <c r="C12" s="6">
        <v>20</v>
      </c>
      <c r="D12" s="6"/>
      <c r="E12" s="6">
        <f t="shared" si="0"/>
        <v>0</v>
      </c>
      <c r="G12" s="6">
        <v>10</v>
      </c>
      <c r="H12" s="6"/>
      <c r="I12" s="6">
        <v>40</v>
      </c>
      <c r="J12" s="6"/>
      <c r="K12" s="6">
        <f t="shared" si="1"/>
        <v>0</v>
      </c>
      <c r="M12" s="6">
        <v>10</v>
      </c>
      <c r="N12" s="6"/>
      <c r="O12" s="6">
        <v>10</v>
      </c>
      <c r="P12" s="6"/>
      <c r="Q12" s="6">
        <f t="shared" si="2"/>
        <v>0</v>
      </c>
      <c r="S12" s="6">
        <v>10</v>
      </c>
      <c r="T12" s="6"/>
      <c r="U12" s="6">
        <v>20</v>
      </c>
      <c r="V12" s="6"/>
      <c r="W12" s="6">
        <f t="shared" si="3"/>
        <v>0</v>
      </c>
      <c r="Y12" s="6">
        <v>10</v>
      </c>
      <c r="Z12" s="6"/>
      <c r="AA12" s="6">
        <v>1</v>
      </c>
      <c r="AB12" s="6"/>
      <c r="AC12" s="6">
        <f t="shared" si="4"/>
        <v>0</v>
      </c>
    </row>
    <row r="13" spans="1:29" ht="20" customHeight="1">
      <c r="A13" s="6">
        <v>11</v>
      </c>
      <c r="B13" s="6"/>
      <c r="C13" s="6">
        <v>20</v>
      </c>
      <c r="D13" s="6"/>
      <c r="E13" s="6">
        <f t="shared" si="0"/>
        <v>0</v>
      </c>
      <c r="G13" s="6">
        <v>11</v>
      </c>
      <c r="H13" s="6"/>
      <c r="I13" s="6">
        <v>40</v>
      </c>
      <c r="J13" s="6"/>
      <c r="K13" s="6">
        <f t="shared" si="1"/>
        <v>0</v>
      </c>
      <c r="M13" s="6">
        <v>11</v>
      </c>
      <c r="N13" s="6"/>
      <c r="O13" s="6">
        <v>10</v>
      </c>
      <c r="P13" s="6"/>
      <c r="Q13" s="6">
        <f t="shared" si="2"/>
        <v>0</v>
      </c>
      <c r="S13" s="6">
        <v>11</v>
      </c>
      <c r="T13" s="6"/>
      <c r="U13" s="6">
        <v>20</v>
      </c>
      <c r="V13" s="6"/>
      <c r="W13" s="6">
        <f t="shared" si="3"/>
        <v>0</v>
      </c>
      <c r="Y13" s="6">
        <v>11</v>
      </c>
      <c r="Z13" s="6"/>
      <c r="AA13" s="6">
        <v>1</v>
      </c>
      <c r="AB13" s="6"/>
      <c r="AC13" s="6">
        <f t="shared" si="4"/>
        <v>0</v>
      </c>
    </row>
    <row r="14" spans="1:29" ht="20" customHeight="1">
      <c r="A14" s="6">
        <v>12</v>
      </c>
      <c r="B14" s="6"/>
      <c r="C14" s="6">
        <v>20</v>
      </c>
      <c r="D14" s="6"/>
      <c r="E14" s="6">
        <f t="shared" si="0"/>
        <v>0</v>
      </c>
      <c r="G14" s="6">
        <v>12</v>
      </c>
      <c r="H14" s="6"/>
      <c r="I14" s="6">
        <v>40</v>
      </c>
      <c r="J14" s="6"/>
      <c r="K14" s="6">
        <f t="shared" si="1"/>
        <v>0</v>
      </c>
      <c r="M14" s="6">
        <v>12</v>
      </c>
      <c r="N14" s="6"/>
      <c r="O14" s="6">
        <v>10</v>
      </c>
      <c r="P14" s="6"/>
      <c r="Q14" s="6">
        <f t="shared" si="2"/>
        <v>0</v>
      </c>
      <c r="S14" s="6">
        <v>12</v>
      </c>
      <c r="T14" s="6"/>
      <c r="U14" s="6">
        <v>20</v>
      </c>
      <c r="V14" s="6"/>
      <c r="W14" s="6">
        <f t="shared" si="3"/>
        <v>0</v>
      </c>
      <c r="Y14" s="6">
        <v>12</v>
      </c>
      <c r="Z14" s="6"/>
      <c r="AA14" s="6">
        <v>1</v>
      </c>
      <c r="AB14" s="6"/>
      <c r="AC14" s="6">
        <f t="shared" si="4"/>
        <v>0</v>
      </c>
    </row>
    <row r="18" spans="1:23" ht="40" customHeight="1">
      <c r="A18" s="37" t="s">
        <v>69</v>
      </c>
      <c r="B18" s="37"/>
      <c r="C18" s="37"/>
      <c r="D18" s="37"/>
      <c r="E18" s="37"/>
      <c r="F18" s="5"/>
      <c r="G18" s="37" t="s">
        <v>70</v>
      </c>
      <c r="H18" s="37"/>
      <c r="I18" s="37"/>
      <c r="J18" s="37"/>
      <c r="K18" s="37"/>
      <c r="M18" s="37" t="s">
        <v>71</v>
      </c>
      <c r="N18" s="37"/>
      <c r="O18" s="37"/>
      <c r="P18" s="37"/>
      <c r="Q18" s="37"/>
      <c r="R18" s="5"/>
      <c r="S18" s="37" t="s">
        <v>72</v>
      </c>
      <c r="T18" s="37"/>
      <c r="U18" s="37"/>
      <c r="V18" s="37"/>
      <c r="W18" s="37"/>
    </row>
    <row r="19" spans="1:23" ht="20" customHeight="1">
      <c r="A19" s="9" t="s">
        <v>64</v>
      </c>
      <c r="B19" s="9" t="s">
        <v>65</v>
      </c>
      <c r="C19" s="9" t="s">
        <v>66</v>
      </c>
      <c r="D19" s="9" t="s">
        <v>67</v>
      </c>
      <c r="E19" s="9" t="s">
        <v>68</v>
      </c>
      <c r="F19" s="5"/>
      <c r="G19" s="9" t="s">
        <v>64</v>
      </c>
      <c r="H19" s="9" t="s">
        <v>65</v>
      </c>
      <c r="I19" s="9" t="s">
        <v>66</v>
      </c>
      <c r="J19" s="9" t="s">
        <v>67</v>
      </c>
      <c r="K19" s="9" t="s">
        <v>68</v>
      </c>
      <c r="M19" s="9" t="s">
        <v>64</v>
      </c>
      <c r="N19" s="9" t="s">
        <v>65</v>
      </c>
      <c r="O19" s="9" t="s">
        <v>66</v>
      </c>
      <c r="P19" s="9" t="s">
        <v>67</v>
      </c>
      <c r="Q19" s="9" t="s">
        <v>68</v>
      </c>
      <c r="R19" s="5"/>
      <c r="S19" s="9" t="s">
        <v>64</v>
      </c>
      <c r="T19" s="9" t="s">
        <v>65</v>
      </c>
      <c r="U19" s="9" t="s">
        <v>66</v>
      </c>
      <c r="V19" s="9" t="s">
        <v>67</v>
      </c>
      <c r="W19" s="9" t="s">
        <v>68</v>
      </c>
    </row>
    <row r="20" spans="1:23" ht="20" customHeight="1">
      <c r="A20" s="9">
        <v>1</v>
      </c>
      <c r="B20" s="9"/>
      <c r="C20" s="9">
        <v>20</v>
      </c>
      <c r="D20" s="9"/>
      <c r="E20" s="9">
        <f t="shared" ref="E20:E31" si="5">(D20-B20)*C20</f>
        <v>0</v>
      </c>
      <c r="F20" s="5"/>
      <c r="G20" s="9">
        <v>1</v>
      </c>
      <c r="H20" s="9"/>
      <c r="I20" s="9">
        <v>40</v>
      </c>
      <c r="J20" s="9"/>
      <c r="K20" s="9">
        <f t="shared" ref="K20:K31" si="6">(J20-H20)*I20</f>
        <v>0</v>
      </c>
      <c r="M20" s="9">
        <v>1</v>
      </c>
      <c r="N20" s="9"/>
      <c r="O20" s="9">
        <v>20</v>
      </c>
      <c r="P20" s="9"/>
      <c r="Q20" s="9">
        <f t="shared" ref="Q20:Q31" si="7">(P20-N20)*O20</f>
        <v>0</v>
      </c>
      <c r="R20" s="5"/>
      <c r="S20" s="9">
        <v>1</v>
      </c>
      <c r="T20" s="9"/>
      <c r="U20" s="9">
        <v>1</v>
      </c>
      <c r="V20" s="9"/>
      <c r="W20" s="9">
        <f t="shared" ref="W20:W31" si="8">(V20-T20)*U20</f>
        <v>0</v>
      </c>
    </row>
    <row r="21" spans="1:23" ht="20" customHeight="1">
      <c r="A21" s="9">
        <v>2</v>
      </c>
      <c r="B21" s="9"/>
      <c r="C21" s="9">
        <v>20</v>
      </c>
      <c r="D21" s="9"/>
      <c r="E21" s="9">
        <f t="shared" si="5"/>
        <v>0</v>
      </c>
      <c r="F21" s="5"/>
      <c r="G21" s="9">
        <v>2</v>
      </c>
      <c r="H21" s="9"/>
      <c r="I21" s="9">
        <v>40</v>
      </c>
      <c r="J21" s="9"/>
      <c r="K21" s="9">
        <f t="shared" si="6"/>
        <v>0</v>
      </c>
      <c r="M21" s="9">
        <v>2</v>
      </c>
      <c r="N21" s="9"/>
      <c r="O21" s="9">
        <v>20</v>
      </c>
      <c r="P21" s="9"/>
      <c r="Q21" s="9">
        <f t="shared" si="7"/>
        <v>0</v>
      </c>
      <c r="R21" s="5"/>
      <c r="S21" s="9">
        <v>2</v>
      </c>
      <c r="T21" s="9"/>
      <c r="U21" s="9">
        <v>1</v>
      </c>
      <c r="V21" s="9"/>
      <c r="W21" s="9">
        <f t="shared" si="8"/>
        <v>0</v>
      </c>
    </row>
    <row r="22" spans="1:23" ht="20" customHeight="1">
      <c r="A22" s="9">
        <v>3</v>
      </c>
      <c r="B22" s="9">
        <v>127.28</v>
      </c>
      <c r="C22" s="9">
        <v>20</v>
      </c>
      <c r="D22" s="9">
        <v>130.69</v>
      </c>
      <c r="E22" s="9">
        <f t="shared" si="5"/>
        <v>68.199999999999903</v>
      </c>
      <c r="F22" s="5"/>
      <c r="G22" s="9">
        <v>3</v>
      </c>
      <c r="H22" s="9"/>
      <c r="I22" s="9">
        <v>40</v>
      </c>
      <c r="J22" s="9"/>
      <c r="K22" s="9">
        <f t="shared" si="6"/>
        <v>0</v>
      </c>
      <c r="M22" s="9">
        <v>3</v>
      </c>
      <c r="N22" s="9">
        <v>87.77</v>
      </c>
      <c r="O22" s="9">
        <v>20</v>
      </c>
      <c r="P22" s="10">
        <v>119.36</v>
      </c>
      <c r="Q22" s="9">
        <f t="shared" si="7"/>
        <v>631.79999999999995</v>
      </c>
      <c r="R22" s="5"/>
      <c r="S22" s="9">
        <v>3</v>
      </c>
      <c r="T22" s="9"/>
      <c r="U22" s="9">
        <v>1</v>
      </c>
      <c r="V22" s="9"/>
      <c r="W22" s="9">
        <f t="shared" si="8"/>
        <v>0</v>
      </c>
    </row>
    <row r="23" spans="1:23" ht="20" customHeight="1">
      <c r="A23" s="9">
        <v>4</v>
      </c>
      <c r="B23" s="9">
        <v>130.69</v>
      </c>
      <c r="C23" s="9">
        <v>20</v>
      </c>
      <c r="D23" s="10">
        <v>141.72999999999999</v>
      </c>
      <c r="E23" s="9">
        <f t="shared" si="5"/>
        <v>220.8</v>
      </c>
      <c r="F23" s="5"/>
      <c r="G23" s="9">
        <v>4</v>
      </c>
      <c r="H23" s="9"/>
      <c r="I23" s="9">
        <v>40</v>
      </c>
      <c r="J23" s="10"/>
      <c r="K23" s="9">
        <f t="shared" si="6"/>
        <v>0</v>
      </c>
      <c r="M23" s="9">
        <v>4</v>
      </c>
      <c r="N23" s="9">
        <v>90.86</v>
      </c>
      <c r="O23" s="9">
        <v>20</v>
      </c>
      <c r="P23" s="10">
        <v>119.36</v>
      </c>
      <c r="Q23" s="9">
        <f t="shared" si="7"/>
        <v>570</v>
      </c>
      <c r="R23" s="5"/>
      <c r="S23" s="9">
        <v>4</v>
      </c>
      <c r="T23" s="9"/>
      <c r="U23" s="9">
        <v>1</v>
      </c>
      <c r="V23" s="10"/>
      <c r="W23" s="9">
        <f t="shared" si="8"/>
        <v>0</v>
      </c>
    </row>
    <row r="24" spans="1:23" ht="20" customHeight="1">
      <c r="A24" s="9">
        <v>5</v>
      </c>
      <c r="B24" s="9">
        <v>130.69</v>
      </c>
      <c r="C24" s="9">
        <v>20</v>
      </c>
      <c r="D24" s="9"/>
      <c r="E24" s="9">
        <f t="shared" si="5"/>
        <v>-2613.8000000000002</v>
      </c>
      <c r="F24" s="5"/>
      <c r="G24" s="9">
        <v>5</v>
      </c>
      <c r="H24" s="9"/>
      <c r="I24" s="9">
        <v>40</v>
      </c>
      <c r="J24" s="9"/>
      <c r="K24" s="9">
        <f t="shared" si="6"/>
        <v>0</v>
      </c>
      <c r="M24" s="9">
        <v>5</v>
      </c>
      <c r="N24" s="10">
        <v>119.36</v>
      </c>
      <c r="O24" s="9">
        <v>20</v>
      </c>
      <c r="P24" s="9"/>
      <c r="Q24" s="9">
        <f t="shared" si="7"/>
        <v>-2387.1999999999998</v>
      </c>
      <c r="R24" s="5"/>
      <c r="S24" s="9">
        <v>5</v>
      </c>
      <c r="T24" s="9"/>
      <c r="U24" s="9">
        <v>1</v>
      </c>
      <c r="V24" s="9"/>
      <c r="W24" s="9">
        <f t="shared" si="8"/>
        <v>0</v>
      </c>
    </row>
    <row r="25" spans="1:23" ht="20" customHeight="1">
      <c r="A25" s="9">
        <v>6</v>
      </c>
      <c r="B25" s="10"/>
      <c r="C25" s="9">
        <v>20</v>
      </c>
      <c r="D25" s="9">
        <v>169.87</v>
      </c>
      <c r="E25" s="9">
        <f t="shared" si="5"/>
        <v>3397.4</v>
      </c>
      <c r="F25" s="5"/>
      <c r="G25" s="9">
        <v>6</v>
      </c>
      <c r="H25" s="10">
        <v>256.52</v>
      </c>
      <c r="I25" s="9">
        <v>40</v>
      </c>
      <c r="J25" s="9">
        <v>283.13</v>
      </c>
      <c r="K25" s="9">
        <f t="shared" si="6"/>
        <v>1064.4000000000001</v>
      </c>
      <c r="M25" s="9">
        <v>6</v>
      </c>
      <c r="N25" s="9"/>
      <c r="O25" s="9">
        <v>20</v>
      </c>
      <c r="P25" s="9">
        <v>234.18</v>
      </c>
      <c r="Q25" s="9">
        <f t="shared" si="7"/>
        <v>4683.6000000000004</v>
      </c>
      <c r="R25" s="5"/>
      <c r="S25" s="9">
        <v>6</v>
      </c>
      <c r="T25" s="10">
        <v>3424.74</v>
      </c>
      <c r="U25" s="9">
        <v>1</v>
      </c>
      <c r="V25" s="9">
        <v>3496.45</v>
      </c>
      <c r="W25" s="9">
        <f t="shared" si="8"/>
        <v>71.709999999999994</v>
      </c>
    </row>
    <row r="26" spans="1:23" ht="20" customHeight="1">
      <c r="A26" s="9">
        <v>7</v>
      </c>
      <c r="B26" s="9">
        <v>169.87</v>
      </c>
      <c r="C26" s="9">
        <v>20</v>
      </c>
      <c r="D26" s="9">
        <v>173.93</v>
      </c>
      <c r="E26" s="9">
        <f t="shared" si="5"/>
        <v>81.2</v>
      </c>
      <c r="F26" s="5"/>
      <c r="G26" s="9">
        <v>7</v>
      </c>
      <c r="H26" s="9">
        <v>283.13</v>
      </c>
      <c r="I26" s="9">
        <v>40</v>
      </c>
      <c r="J26" s="9">
        <v>303.19</v>
      </c>
      <c r="K26" s="9">
        <f t="shared" si="6"/>
        <v>802.4</v>
      </c>
      <c r="M26" s="9">
        <v>7</v>
      </c>
      <c r="N26" s="9">
        <v>234.18</v>
      </c>
      <c r="O26" s="9">
        <v>20</v>
      </c>
      <c r="P26" s="9">
        <v>269.79000000000002</v>
      </c>
      <c r="Q26" s="9">
        <f t="shared" si="7"/>
        <v>712.2</v>
      </c>
      <c r="R26" s="5"/>
      <c r="S26" s="9">
        <v>7</v>
      </c>
      <c r="T26" s="9">
        <v>3496.45</v>
      </c>
      <c r="U26" s="9">
        <v>1</v>
      </c>
      <c r="V26" s="9">
        <v>3563.48</v>
      </c>
      <c r="W26" s="9">
        <f t="shared" si="8"/>
        <v>67.0300000000002</v>
      </c>
    </row>
    <row r="27" spans="1:23" ht="20" customHeight="1">
      <c r="A27" s="9">
        <v>8</v>
      </c>
      <c r="B27" s="9">
        <v>173.93</v>
      </c>
      <c r="C27" s="9">
        <v>20</v>
      </c>
      <c r="D27" s="9">
        <v>177.44</v>
      </c>
      <c r="E27" s="9">
        <f t="shared" si="5"/>
        <v>70.199999999999804</v>
      </c>
      <c r="F27" s="5"/>
      <c r="G27" s="9">
        <v>8</v>
      </c>
      <c r="H27" s="9">
        <v>303.19</v>
      </c>
      <c r="I27" s="9">
        <v>40</v>
      </c>
      <c r="J27" s="9">
        <v>320.48</v>
      </c>
      <c r="K27" s="9">
        <f t="shared" si="6"/>
        <v>691.60000000000105</v>
      </c>
      <c r="M27" s="9">
        <v>8</v>
      </c>
      <c r="N27" s="9">
        <v>269.79000000000002</v>
      </c>
      <c r="O27" s="9">
        <v>20</v>
      </c>
      <c r="P27" s="9">
        <v>300.52</v>
      </c>
      <c r="Q27" s="9">
        <f t="shared" si="7"/>
        <v>614.599999999999</v>
      </c>
      <c r="R27" s="5"/>
      <c r="S27" s="9">
        <v>8</v>
      </c>
      <c r="T27" s="9">
        <v>3563.48</v>
      </c>
      <c r="U27" s="9">
        <v>1</v>
      </c>
      <c r="V27" s="9">
        <v>3624.66</v>
      </c>
      <c r="W27" s="9">
        <f t="shared" si="8"/>
        <v>61.179999999999801</v>
      </c>
    </row>
    <row r="28" spans="1:23" ht="20" customHeight="1">
      <c r="A28" s="9">
        <v>9</v>
      </c>
      <c r="B28" s="9"/>
      <c r="C28" s="9">
        <v>20</v>
      </c>
      <c r="D28" s="9"/>
      <c r="E28" s="9">
        <f t="shared" si="5"/>
        <v>0</v>
      </c>
      <c r="F28" s="5"/>
      <c r="G28" s="9">
        <v>9</v>
      </c>
      <c r="H28" s="9"/>
      <c r="I28" s="9">
        <v>40</v>
      </c>
      <c r="J28" s="9"/>
      <c r="K28" s="9">
        <f t="shared" si="6"/>
        <v>0</v>
      </c>
      <c r="M28" s="9">
        <v>9</v>
      </c>
      <c r="N28" s="9"/>
      <c r="O28" s="9">
        <v>20</v>
      </c>
      <c r="P28" s="9"/>
      <c r="Q28" s="9">
        <f t="shared" si="7"/>
        <v>0</v>
      </c>
      <c r="R28" s="5"/>
      <c r="S28" s="9">
        <v>9</v>
      </c>
      <c r="T28" s="9"/>
      <c r="U28" s="9">
        <v>1</v>
      </c>
      <c r="V28" s="9"/>
      <c r="W28" s="9">
        <f t="shared" si="8"/>
        <v>0</v>
      </c>
    </row>
    <row r="29" spans="1:23" ht="20" customHeight="1">
      <c r="A29" s="9">
        <v>10</v>
      </c>
      <c r="B29" s="9"/>
      <c r="C29" s="9">
        <v>20</v>
      </c>
      <c r="D29" s="9"/>
      <c r="E29" s="9">
        <f t="shared" si="5"/>
        <v>0</v>
      </c>
      <c r="F29" s="5"/>
      <c r="G29" s="9">
        <v>10</v>
      </c>
      <c r="H29" s="9"/>
      <c r="I29" s="9">
        <v>40</v>
      </c>
      <c r="J29" s="9"/>
      <c r="K29" s="9">
        <f t="shared" si="6"/>
        <v>0</v>
      </c>
      <c r="M29" s="9">
        <v>10</v>
      </c>
      <c r="N29" s="9"/>
      <c r="O29" s="9">
        <v>20</v>
      </c>
      <c r="P29" s="9"/>
      <c r="Q29" s="9">
        <f t="shared" si="7"/>
        <v>0</v>
      </c>
      <c r="R29" s="5"/>
      <c r="S29" s="9">
        <v>10</v>
      </c>
      <c r="T29" s="9"/>
      <c r="U29" s="9">
        <v>1</v>
      </c>
      <c r="V29" s="9"/>
      <c r="W29" s="9">
        <f t="shared" si="8"/>
        <v>0</v>
      </c>
    </row>
    <row r="30" spans="1:23" ht="20" customHeight="1">
      <c r="A30" s="9">
        <v>11</v>
      </c>
      <c r="B30" s="9"/>
      <c r="C30" s="9">
        <v>20</v>
      </c>
      <c r="D30" s="9"/>
      <c r="E30" s="9">
        <f t="shared" si="5"/>
        <v>0</v>
      </c>
      <c r="F30" s="5"/>
      <c r="G30" s="9">
        <v>11</v>
      </c>
      <c r="H30" s="9"/>
      <c r="I30" s="9">
        <v>40</v>
      </c>
      <c r="J30" s="9"/>
      <c r="K30" s="9">
        <f t="shared" si="6"/>
        <v>0</v>
      </c>
      <c r="M30" s="9">
        <v>11</v>
      </c>
      <c r="N30" s="9"/>
      <c r="O30" s="9">
        <v>20</v>
      </c>
      <c r="P30" s="9"/>
      <c r="Q30" s="9">
        <f t="shared" si="7"/>
        <v>0</v>
      </c>
      <c r="R30" s="5"/>
      <c r="S30" s="9">
        <v>11</v>
      </c>
      <c r="T30" s="9"/>
      <c r="U30" s="9">
        <v>1</v>
      </c>
      <c r="V30" s="9"/>
      <c r="W30" s="9">
        <f t="shared" si="8"/>
        <v>0</v>
      </c>
    </row>
    <row r="31" spans="1:23" ht="20" customHeight="1">
      <c r="A31" s="9">
        <v>12</v>
      </c>
      <c r="B31" s="9"/>
      <c r="C31" s="9">
        <v>20</v>
      </c>
      <c r="D31" s="9"/>
      <c r="E31" s="9">
        <f t="shared" si="5"/>
        <v>0</v>
      </c>
      <c r="F31" s="5"/>
      <c r="G31" s="9">
        <v>12</v>
      </c>
      <c r="H31" s="9"/>
      <c r="I31" s="9">
        <v>40</v>
      </c>
      <c r="J31" s="9"/>
      <c r="K31" s="9">
        <f t="shared" si="6"/>
        <v>0</v>
      </c>
      <c r="M31" s="9">
        <v>12</v>
      </c>
      <c r="N31" s="9"/>
      <c r="O31" s="9">
        <v>20</v>
      </c>
      <c r="P31" s="9"/>
      <c r="Q31" s="9">
        <f t="shared" si="7"/>
        <v>0</v>
      </c>
      <c r="R31" s="5"/>
      <c r="S31" s="9">
        <v>12</v>
      </c>
      <c r="T31" s="9"/>
      <c r="U31" s="9">
        <v>1</v>
      </c>
      <c r="V31" s="9"/>
      <c r="W31" s="9">
        <f t="shared" si="8"/>
        <v>0</v>
      </c>
    </row>
    <row r="35" spans="1:29" ht="40" customHeight="1">
      <c r="A35" s="38" t="s">
        <v>73</v>
      </c>
      <c r="B35" s="38"/>
      <c r="C35" s="38"/>
      <c r="D35" s="38"/>
      <c r="E35" s="38"/>
      <c r="F35" s="5"/>
      <c r="G35" s="38" t="s">
        <v>74</v>
      </c>
      <c r="H35" s="38"/>
      <c r="I35" s="38"/>
      <c r="J35" s="38"/>
      <c r="K35" s="38"/>
      <c r="M35" s="38" t="s">
        <v>75</v>
      </c>
      <c r="N35" s="38"/>
      <c r="O35" s="38"/>
      <c r="P35" s="38"/>
      <c r="Q35" s="38"/>
      <c r="S35" s="38" t="s">
        <v>76</v>
      </c>
      <c r="T35" s="38"/>
      <c r="U35" s="38"/>
      <c r="V35" s="38"/>
      <c r="W35" s="38"/>
      <c r="Y35" s="38" t="s">
        <v>77</v>
      </c>
      <c r="Z35" s="38"/>
      <c r="AA35" s="38"/>
      <c r="AB35" s="38"/>
      <c r="AC35" s="38"/>
    </row>
    <row r="36" spans="1:29" ht="20" customHeight="1">
      <c r="A36" s="11" t="s">
        <v>64</v>
      </c>
      <c r="B36" s="11" t="s">
        <v>65</v>
      </c>
      <c r="C36" s="11" t="s">
        <v>66</v>
      </c>
      <c r="D36" s="11" t="s">
        <v>67</v>
      </c>
      <c r="E36" s="11" t="s">
        <v>68</v>
      </c>
      <c r="F36" s="5"/>
      <c r="G36" s="11" t="s">
        <v>64</v>
      </c>
      <c r="H36" s="11" t="s">
        <v>65</v>
      </c>
      <c r="I36" s="11" t="s">
        <v>66</v>
      </c>
      <c r="J36" s="11" t="s">
        <v>67</v>
      </c>
      <c r="K36" s="11" t="s">
        <v>68</v>
      </c>
      <c r="M36" s="11" t="s">
        <v>64</v>
      </c>
      <c r="N36" s="11" t="s">
        <v>65</v>
      </c>
      <c r="O36" s="11" t="s">
        <v>66</v>
      </c>
      <c r="P36" s="11" t="s">
        <v>67</v>
      </c>
      <c r="Q36" s="11" t="s">
        <v>68</v>
      </c>
      <c r="S36" s="11" t="s">
        <v>64</v>
      </c>
      <c r="T36" s="11" t="s">
        <v>65</v>
      </c>
      <c r="U36" s="11" t="s">
        <v>66</v>
      </c>
      <c r="V36" s="11" t="s">
        <v>67</v>
      </c>
      <c r="W36" s="11" t="s">
        <v>68</v>
      </c>
      <c r="Y36" s="11" t="s">
        <v>64</v>
      </c>
      <c r="Z36" s="11" t="s">
        <v>65</v>
      </c>
      <c r="AA36" s="11" t="s">
        <v>66</v>
      </c>
      <c r="AB36" s="11" t="s">
        <v>67</v>
      </c>
      <c r="AC36" s="11" t="s">
        <v>68</v>
      </c>
    </row>
    <row r="37" spans="1:29" ht="20" customHeight="1">
      <c r="A37" s="11">
        <v>1</v>
      </c>
      <c r="B37" s="11"/>
      <c r="C37" s="11">
        <v>20</v>
      </c>
      <c r="D37" s="11"/>
      <c r="E37" s="11">
        <f t="shared" ref="E37:E48" si="9">(D37-B37)*C37</f>
        <v>0</v>
      </c>
      <c r="F37" s="5"/>
      <c r="G37" s="11">
        <v>1</v>
      </c>
      <c r="H37" s="11"/>
      <c r="I37" s="11">
        <v>20</v>
      </c>
      <c r="J37" s="11"/>
      <c r="K37" s="11">
        <f t="shared" ref="K37:K48" si="10">(J37-H37)*I37</f>
        <v>0</v>
      </c>
      <c r="M37" s="11">
        <v>1</v>
      </c>
      <c r="N37" s="11"/>
      <c r="O37" s="11">
        <v>20</v>
      </c>
      <c r="P37" s="11"/>
      <c r="Q37" s="11">
        <f t="shared" ref="Q37:Q48" si="11">(P37-N37)*O37</f>
        <v>0</v>
      </c>
      <c r="S37" s="11">
        <v>1</v>
      </c>
      <c r="T37" s="11"/>
      <c r="U37" s="11">
        <v>50</v>
      </c>
      <c r="V37" s="11"/>
      <c r="W37" s="11">
        <f t="shared" ref="W37:W48" si="12">(V37-T37)*U37</f>
        <v>0</v>
      </c>
      <c r="Y37" s="11">
        <v>1</v>
      </c>
      <c r="Z37" s="11"/>
      <c r="AA37" s="11">
        <v>1</v>
      </c>
      <c r="AB37" s="11"/>
      <c r="AC37" s="11">
        <f t="shared" ref="AC37:AC48" si="13">(AB37-Z37)*AA37</f>
        <v>0</v>
      </c>
    </row>
    <row r="38" spans="1:29" ht="20" customHeight="1">
      <c r="A38" s="11">
        <v>2</v>
      </c>
      <c r="B38" s="11"/>
      <c r="C38" s="11">
        <v>20</v>
      </c>
      <c r="D38" s="11"/>
      <c r="E38" s="11">
        <f t="shared" si="9"/>
        <v>0</v>
      </c>
      <c r="F38" s="5"/>
      <c r="G38" s="11">
        <v>2</v>
      </c>
      <c r="H38" s="11"/>
      <c r="I38" s="11">
        <v>20</v>
      </c>
      <c r="J38" s="11"/>
      <c r="K38" s="11">
        <f t="shared" si="10"/>
        <v>0</v>
      </c>
      <c r="M38" s="11">
        <v>2</v>
      </c>
      <c r="N38" s="11"/>
      <c r="O38" s="11">
        <v>20</v>
      </c>
      <c r="P38" s="11"/>
      <c r="Q38" s="11">
        <f t="shared" si="11"/>
        <v>0</v>
      </c>
      <c r="S38" s="11">
        <v>2</v>
      </c>
      <c r="T38" s="11"/>
      <c r="U38" s="11">
        <v>50</v>
      </c>
      <c r="V38" s="11"/>
      <c r="W38" s="11">
        <f t="shared" si="12"/>
        <v>0</v>
      </c>
      <c r="Y38" s="11">
        <v>2</v>
      </c>
      <c r="Z38" s="11"/>
      <c r="AA38" s="11">
        <v>1</v>
      </c>
      <c r="AB38" s="11"/>
      <c r="AC38" s="11">
        <f t="shared" si="13"/>
        <v>0</v>
      </c>
    </row>
    <row r="39" spans="1:29" ht="20" customHeight="1">
      <c r="A39" s="11">
        <v>3</v>
      </c>
      <c r="B39" s="11"/>
      <c r="C39" s="11">
        <v>20</v>
      </c>
      <c r="D39" s="11"/>
      <c r="E39" s="11">
        <f t="shared" si="9"/>
        <v>0</v>
      </c>
      <c r="F39" s="5"/>
      <c r="G39" s="11">
        <v>3</v>
      </c>
      <c r="H39" s="11"/>
      <c r="I39" s="11">
        <v>20</v>
      </c>
      <c r="J39" s="11"/>
      <c r="K39" s="11">
        <f t="shared" si="10"/>
        <v>0</v>
      </c>
      <c r="M39" s="11">
        <v>3</v>
      </c>
      <c r="N39" s="11"/>
      <c r="O39" s="11">
        <v>20</v>
      </c>
      <c r="P39" s="11"/>
      <c r="Q39" s="11">
        <f t="shared" si="11"/>
        <v>0</v>
      </c>
      <c r="S39" s="11">
        <v>3</v>
      </c>
      <c r="T39" s="11"/>
      <c r="U39" s="11">
        <v>50</v>
      </c>
      <c r="V39" s="11"/>
      <c r="W39" s="11">
        <f t="shared" si="12"/>
        <v>0</v>
      </c>
      <c r="Y39" s="11">
        <v>3</v>
      </c>
      <c r="Z39" s="11"/>
      <c r="AA39" s="11">
        <v>1</v>
      </c>
      <c r="AB39" s="11"/>
      <c r="AC39" s="11">
        <f t="shared" si="13"/>
        <v>0</v>
      </c>
    </row>
    <row r="40" spans="1:29" ht="20" customHeight="1">
      <c r="A40" s="11">
        <v>4</v>
      </c>
      <c r="B40" s="11"/>
      <c r="C40" s="11">
        <v>20</v>
      </c>
      <c r="D40" s="12"/>
      <c r="E40" s="11">
        <f t="shared" si="9"/>
        <v>0</v>
      </c>
      <c r="F40" s="5"/>
      <c r="G40" s="11">
        <v>4</v>
      </c>
      <c r="H40" s="11"/>
      <c r="I40" s="11">
        <v>20</v>
      </c>
      <c r="J40" s="12"/>
      <c r="K40" s="11">
        <f t="shared" si="10"/>
        <v>0</v>
      </c>
      <c r="M40" s="11">
        <v>4</v>
      </c>
      <c r="N40" s="11"/>
      <c r="O40" s="11">
        <v>20</v>
      </c>
      <c r="P40" s="12"/>
      <c r="Q40" s="11">
        <f t="shared" si="11"/>
        <v>0</v>
      </c>
      <c r="S40" s="11">
        <v>4</v>
      </c>
      <c r="T40" s="11"/>
      <c r="U40" s="11">
        <v>50</v>
      </c>
      <c r="V40" s="12"/>
      <c r="W40" s="11">
        <f t="shared" si="12"/>
        <v>0</v>
      </c>
      <c r="Y40" s="11">
        <v>4</v>
      </c>
      <c r="Z40" s="11"/>
      <c r="AA40" s="11">
        <v>1</v>
      </c>
      <c r="AB40" s="12"/>
      <c r="AC40" s="11">
        <f t="shared" si="13"/>
        <v>0</v>
      </c>
    </row>
    <row r="41" spans="1:29" ht="20" customHeight="1">
      <c r="A41" s="11">
        <v>5</v>
      </c>
      <c r="B41" s="13">
        <v>533.6</v>
      </c>
      <c r="C41" s="11">
        <v>20</v>
      </c>
      <c r="D41" s="11">
        <v>569.28</v>
      </c>
      <c r="E41" s="11">
        <f t="shared" si="9"/>
        <v>713.599999999999</v>
      </c>
      <c r="F41" s="5"/>
      <c r="G41" s="11">
        <v>5</v>
      </c>
      <c r="H41" s="13">
        <v>48.11</v>
      </c>
      <c r="I41" s="11">
        <v>20</v>
      </c>
      <c r="J41" s="11">
        <v>48.97</v>
      </c>
      <c r="K41" s="11">
        <f t="shared" si="10"/>
        <v>17.2</v>
      </c>
      <c r="M41" s="11">
        <v>5</v>
      </c>
      <c r="N41" s="13">
        <v>1998.43</v>
      </c>
      <c r="O41" s="11">
        <v>20</v>
      </c>
      <c r="P41" s="11">
        <v>2040.42</v>
      </c>
      <c r="Q41" s="11">
        <f t="shared" si="11"/>
        <v>839.8</v>
      </c>
      <c r="S41" s="11">
        <v>5</v>
      </c>
      <c r="T41" s="13">
        <v>1014.16</v>
      </c>
      <c r="U41" s="11">
        <v>50</v>
      </c>
      <c r="V41" s="11">
        <v>1045.24</v>
      </c>
      <c r="W41" s="11">
        <f t="shared" si="12"/>
        <v>1554</v>
      </c>
      <c r="Y41" s="11">
        <v>5</v>
      </c>
      <c r="Z41" s="13">
        <v>1370.5</v>
      </c>
      <c r="AA41" s="11">
        <v>1</v>
      </c>
      <c r="AB41" s="11">
        <v>1404.98</v>
      </c>
      <c r="AC41" s="11">
        <f t="shared" si="13"/>
        <v>34.479999999999997</v>
      </c>
    </row>
    <row r="42" spans="1:29" ht="20" customHeight="1">
      <c r="A42" s="11">
        <v>6</v>
      </c>
      <c r="B42" s="11">
        <v>569.28</v>
      </c>
      <c r="C42" s="11">
        <v>20</v>
      </c>
      <c r="D42" s="11">
        <v>581.98</v>
      </c>
      <c r="E42" s="11">
        <f t="shared" si="9"/>
        <v>254.00000000000099</v>
      </c>
      <c r="F42" s="5"/>
      <c r="G42" s="11">
        <v>6</v>
      </c>
      <c r="H42" s="11">
        <v>48.97</v>
      </c>
      <c r="I42" s="11">
        <v>20</v>
      </c>
      <c r="J42" s="11">
        <v>49.6</v>
      </c>
      <c r="K42" s="11">
        <f t="shared" si="10"/>
        <v>12.600000000000099</v>
      </c>
      <c r="M42" s="11">
        <v>6</v>
      </c>
      <c r="N42" s="11">
        <v>2040.42</v>
      </c>
      <c r="O42" s="11">
        <v>20</v>
      </c>
      <c r="P42" s="11">
        <v>2065.1</v>
      </c>
      <c r="Q42" s="11">
        <f t="shared" si="11"/>
        <v>493.59999999999701</v>
      </c>
      <c r="S42" s="11">
        <v>6</v>
      </c>
      <c r="T42" s="11">
        <v>1045.24</v>
      </c>
      <c r="U42" s="11">
        <v>50</v>
      </c>
      <c r="V42" s="11">
        <v>1060.25</v>
      </c>
      <c r="W42" s="11">
        <f t="shared" si="12"/>
        <v>750.5</v>
      </c>
      <c r="Y42" s="11">
        <v>6</v>
      </c>
      <c r="Z42" s="11">
        <v>1404.98</v>
      </c>
      <c r="AA42" s="11">
        <v>1</v>
      </c>
      <c r="AB42" s="11">
        <v>1426.8</v>
      </c>
      <c r="AC42" s="11">
        <f t="shared" si="13"/>
        <v>21.819999999999901</v>
      </c>
    </row>
    <row r="43" spans="1:29" ht="20" customHeight="1">
      <c r="A43" s="11">
        <v>7</v>
      </c>
      <c r="B43" s="11">
        <v>581.98</v>
      </c>
      <c r="C43" s="11">
        <v>20</v>
      </c>
      <c r="D43" s="11">
        <v>598.65</v>
      </c>
      <c r="E43" s="11">
        <f t="shared" si="9"/>
        <v>333.39999999999901</v>
      </c>
      <c r="F43" s="5"/>
      <c r="G43" s="11">
        <v>7</v>
      </c>
      <c r="H43" s="11">
        <v>49.6</v>
      </c>
      <c r="I43" s="11">
        <v>20</v>
      </c>
      <c r="J43" s="11">
        <v>50.4</v>
      </c>
      <c r="K43" s="11">
        <f t="shared" si="10"/>
        <v>15.999999999999901</v>
      </c>
      <c r="M43" s="11">
        <v>7</v>
      </c>
      <c r="N43" s="11">
        <v>2065.1</v>
      </c>
      <c r="O43" s="11">
        <v>20</v>
      </c>
      <c r="P43" s="11">
        <v>2102.46</v>
      </c>
      <c r="Q43" s="11">
        <f t="shared" si="11"/>
        <v>747.200000000003</v>
      </c>
      <c r="S43" s="11">
        <v>7</v>
      </c>
      <c r="T43" s="11">
        <v>1060.25</v>
      </c>
      <c r="U43" s="11">
        <v>50</v>
      </c>
      <c r="V43" s="11">
        <v>1081.8900000000001</v>
      </c>
      <c r="W43" s="11">
        <f t="shared" si="12"/>
        <v>1082</v>
      </c>
      <c r="Y43" s="11">
        <v>7</v>
      </c>
      <c r="Z43" s="11">
        <v>1426.8</v>
      </c>
      <c r="AA43" s="11">
        <v>1</v>
      </c>
      <c r="AB43" s="11">
        <v>1453.98</v>
      </c>
      <c r="AC43" s="11">
        <f t="shared" si="13"/>
        <v>27.180000000000099</v>
      </c>
    </row>
    <row r="44" spans="1:29" ht="20" customHeight="1">
      <c r="A44" s="11">
        <v>8</v>
      </c>
      <c r="B44" s="11">
        <v>598.65</v>
      </c>
      <c r="C44" s="11">
        <v>20</v>
      </c>
      <c r="D44" s="11">
        <v>608.91</v>
      </c>
      <c r="E44" s="11">
        <f t="shared" si="9"/>
        <v>205.2</v>
      </c>
      <c r="F44" s="5"/>
      <c r="G44" s="11">
        <v>8</v>
      </c>
      <c r="H44" s="11">
        <v>50.4</v>
      </c>
      <c r="I44" s="11">
        <v>20</v>
      </c>
      <c r="J44" s="11">
        <v>51.21</v>
      </c>
      <c r="K44" s="11">
        <f t="shared" si="10"/>
        <v>16.2</v>
      </c>
      <c r="M44" s="11">
        <v>8</v>
      </c>
      <c r="N44" s="11">
        <v>2102.46</v>
      </c>
      <c r="O44" s="11">
        <v>20</v>
      </c>
      <c r="P44" s="11">
        <v>2131.2399999999998</v>
      </c>
      <c r="Q44" s="11">
        <f t="shared" si="11"/>
        <v>575.59999999999502</v>
      </c>
      <c r="S44" s="11">
        <v>8</v>
      </c>
      <c r="T44" s="11">
        <v>1081.8900000000001</v>
      </c>
      <c r="U44" s="11">
        <v>50</v>
      </c>
      <c r="V44" s="11">
        <v>1097.68</v>
      </c>
      <c r="W44" s="11">
        <f t="shared" si="12"/>
        <v>789.49999999999795</v>
      </c>
      <c r="Y44" s="11">
        <v>8</v>
      </c>
      <c r="Z44" s="11">
        <v>1453.98</v>
      </c>
      <c r="AA44" s="11">
        <v>1</v>
      </c>
      <c r="AB44" s="11">
        <v>1473.05</v>
      </c>
      <c r="AC44" s="11">
        <f t="shared" si="13"/>
        <v>19.069999999999901</v>
      </c>
    </row>
    <row r="45" spans="1:29" ht="20" customHeight="1">
      <c r="A45" s="11">
        <v>9</v>
      </c>
      <c r="B45" s="11"/>
      <c r="C45" s="11">
        <v>20</v>
      </c>
      <c r="D45" s="11"/>
      <c r="E45" s="11">
        <f t="shared" si="9"/>
        <v>0</v>
      </c>
      <c r="F45" s="5"/>
      <c r="G45" s="11">
        <v>9</v>
      </c>
      <c r="H45" s="11"/>
      <c r="I45" s="11">
        <v>20</v>
      </c>
      <c r="J45" s="11"/>
      <c r="K45" s="11">
        <f t="shared" si="10"/>
        <v>0</v>
      </c>
      <c r="M45" s="11">
        <v>9</v>
      </c>
      <c r="N45" s="11"/>
      <c r="O45" s="11">
        <v>20</v>
      </c>
      <c r="P45" s="11"/>
      <c r="Q45" s="11">
        <f t="shared" si="11"/>
        <v>0</v>
      </c>
      <c r="S45" s="11">
        <v>9</v>
      </c>
      <c r="T45" s="11"/>
      <c r="U45" s="11">
        <v>50</v>
      </c>
      <c r="V45" s="11"/>
      <c r="W45" s="11">
        <f t="shared" si="12"/>
        <v>0</v>
      </c>
      <c r="Y45" s="11">
        <v>9</v>
      </c>
      <c r="Z45" s="11"/>
      <c r="AA45" s="11">
        <v>1</v>
      </c>
      <c r="AB45" s="11"/>
      <c r="AC45" s="11">
        <f t="shared" si="13"/>
        <v>0</v>
      </c>
    </row>
    <row r="46" spans="1:29" ht="20" customHeight="1">
      <c r="A46" s="11">
        <v>10</v>
      </c>
      <c r="B46" s="11"/>
      <c r="C46" s="11">
        <v>20</v>
      </c>
      <c r="D46" s="11"/>
      <c r="E46" s="11">
        <f t="shared" si="9"/>
        <v>0</v>
      </c>
      <c r="F46" s="5"/>
      <c r="G46" s="11">
        <v>10</v>
      </c>
      <c r="H46" s="11"/>
      <c r="I46" s="11">
        <v>20</v>
      </c>
      <c r="J46" s="11"/>
      <c r="K46" s="11">
        <f t="shared" si="10"/>
        <v>0</v>
      </c>
      <c r="M46" s="11">
        <v>10</v>
      </c>
      <c r="N46" s="11"/>
      <c r="O46" s="11">
        <v>20</v>
      </c>
      <c r="P46" s="11"/>
      <c r="Q46" s="11">
        <f t="shared" si="11"/>
        <v>0</v>
      </c>
      <c r="S46" s="11">
        <v>10</v>
      </c>
      <c r="T46" s="11"/>
      <c r="U46" s="11">
        <v>50</v>
      </c>
      <c r="V46" s="11"/>
      <c r="W46" s="11">
        <f t="shared" si="12"/>
        <v>0</v>
      </c>
      <c r="Y46" s="11">
        <v>10</v>
      </c>
      <c r="Z46" s="11"/>
      <c r="AA46" s="11">
        <v>1</v>
      </c>
      <c r="AB46" s="11"/>
      <c r="AC46" s="11">
        <f t="shared" si="13"/>
        <v>0</v>
      </c>
    </row>
    <row r="47" spans="1:29" ht="20" customHeight="1">
      <c r="A47" s="11">
        <v>11</v>
      </c>
      <c r="B47" s="11"/>
      <c r="C47" s="11">
        <v>20</v>
      </c>
      <c r="D47" s="11"/>
      <c r="E47" s="11">
        <f t="shared" si="9"/>
        <v>0</v>
      </c>
      <c r="F47" s="5"/>
      <c r="G47" s="11">
        <v>11</v>
      </c>
      <c r="H47" s="11"/>
      <c r="I47" s="11">
        <v>20</v>
      </c>
      <c r="J47" s="11"/>
      <c r="K47" s="11">
        <f t="shared" si="10"/>
        <v>0</v>
      </c>
      <c r="M47" s="11">
        <v>11</v>
      </c>
      <c r="N47" s="11"/>
      <c r="O47" s="11">
        <v>20</v>
      </c>
      <c r="P47" s="11"/>
      <c r="Q47" s="11">
        <f t="shared" si="11"/>
        <v>0</v>
      </c>
      <c r="S47" s="11">
        <v>11</v>
      </c>
      <c r="T47" s="11"/>
      <c r="U47" s="11">
        <v>50</v>
      </c>
      <c r="V47" s="11"/>
      <c r="W47" s="11">
        <f t="shared" si="12"/>
        <v>0</v>
      </c>
      <c r="Y47" s="11">
        <v>11</v>
      </c>
      <c r="Z47" s="11"/>
      <c r="AA47" s="11">
        <v>1</v>
      </c>
      <c r="AB47" s="11"/>
      <c r="AC47" s="11">
        <f t="shared" si="13"/>
        <v>0</v>
      </c>
    </row>
    <row r="48" spans="1:29" ht="20" customHeight="1">
      <c r="A48" s="11">
        <v>12</v>
      </c>
      <c r="B48" s="11"/>
      <c r="C48" s="11">
        <v>20</v>
      </c>
      <c r="D48" s="11"/>
      <c r="E48" s="11">
        <f t="shared" si="9"/>
        <v>0</v>
      </c>
      <c r="F48" s="5"/>
      <c r="G48" s="11">
        <v>12</v>
      </c>
      <c r="H48" s="11"/>
      <c r="I48" s="11">
        <v>20</v>
      </c>
      <c r="J48" s="11"/>
      <c r="K48" s="11">
        <f t="shared" si="10"/>
        <v>0</v>
      </c>
      <c r="M48" s="11">
        <v>12</v>
      </c>
      <c r="N48" s="11"/>
      <c r="O48" s="11">
        <v>20</v>
      </c>
      <c r="P48" s="11"/>
      <c r="Q48" s="11">
        <f t="shared" si="11"/>
        <v>0</v>
      </c>
      <c r="S48" s="11">
        <v>12</v>
      </c>
      <c r="T48" s="11"/>
      <c r="U48" s="11">
        <v>50</v>
      </c>
      <c r="V48" s="11"/>
      <c r="W48" s="11">
        <f t="shared" si="12"/>
        <v>0</v>
      </c>
      <c r="Y48" s="11">
        <v>12</v>
      </c>
      <c r="Z48" s="11"/>
      <c r="AA48" s="11">
        <v>1</v>
      </c>
      <c r="AB48" s="11"/>
      <c r="AC48" s="11">
        <f t="shared" si="13"/>
        <v>0</v>
      </c>
    </row>
    <row r="49" spans="1:17" s="5" customFormat="1"/>
    <row r="50" spans="1:17" s="5" customFormat="1"/>
    <row r="51" spans="1:17" s="5" customFormat="1"/>
    <row r="52" spans="1:17" ht="40" customHeight="1">
      <c r="A52" s="39" t="s">
        <v>78</v>
      </c>
      <c r="B52" s="39"/>
      <c r="C52" s="39"/>
      <c r="D52" s="39"/>
      <c r="E52" s="39"/>
      <c r="G52" s="39" t="s">
        <v>79</v>
      </c>
      <c r="H52" s="39"/>
      <c r="I52" s="39"/>
      <c r="J52" s="39"/>
      <c r="K52" s="39"/>
      <c r="M52" s="39" t="s">
        <v>80</v>
      </c>
      <c r="N52" s="39"/>
      <c r="O52" s="39"/>
      <c r="P52" s="39"/>
      <c r="Q52" s="39"/>
    </row>
    <row r="53" spans="1:17" ht="20" customHeight="1">
      <c r="A53" s="14" t="s">
        <v>64</v>
      </c>
      <c r="B53" s="14" t="s">
        <v>65</v>
      </c>
      <c r="C53" s="14" t="s">
        <v>66</v>
      </c>
      <c r="D53" s="14" t="s">
        <v>67</v>
      </c>
      <c r="E53" s="14" t="s">
        <v>68</v>
      </c>
      <c r="G53" s="14" t="s">
        <v>64</v>
      </c>
      <c r="H53" s="14" t="s">
        <v>65</v>
      </c>
      <c r="I53" s="14" t="s">
        <v>66</v>
      </c>
      <c r="J53" s="14" t="s">
        <v>67</v>
      </c>
      <c r="K53" s="14" t="s">
        <v>68</v>
      </c>
      <c r="M53" s="14" t="s">
        <v>64</v>
      </c>
      <c r="N53" s="14" t="s">
        <v>65</v>
      </c>
      <c r="O53" s="14" t="s">
        <v>66</v>
      </c>
      <c r="P53" s="14" t="s">
        <v>67</v>
      </c>
      <c r="Q53" s="14" t="s">
        <v>68</v>
      </c>
    </row>
    <row r="54" spans="1:17" ht="20" customHeight="1">
      <c r="A54" s="14">
        <v>1</v>
      </c>
      <c r="B54" s="14"/>
      <c r="C54" s="14">
        <v>20</v>
      </c>
      <c r="D54" s="14"/>
      <c r="E54" s="14">
        <f t="shared" ref="E54:E65" si="14">(D54-B54)*C54</f>
        <v>0</v>
      </c>
      <c r="G54" s="14">
        <v>1</v>
      </c>
      <c r="H54" s="14"/>
      <c r="I54" s="14">
        <v>20</v>
      </c>
      <c r="J54" s="14"/>
      <c r="K54" s="14">
        <f t="shared" ref="K54:K65" si="15">(J54-H54)*I54</f>
        <v>0</v>
      </c>
      <c r="M54" s="14">
        <v>1</v>
      </c>
      <c r="N54" s="14"/>
      <c r="O54" s="14">
        <v>10</v>
      </c>
      <c r="P54" s="14"/>
      <c r="Q54" s="14">
        <f t="shared" ref="Q54:Q65" si="16">(P54-N54)*O54</f>
        <v>0</v>
      </c>
    </row>
    <row r="55" spans="1:17" ht="20" customHeight="1">
      <c r="A55" s="14">
        <v>2</v>
      </c>
      <c r="B55" s="14"/>
      <c r="C55" s="14">
        <v>20</v>
      </c>
      <c r="D55" s="14"/>
      <c r="E55" s="14">
        <f t="shared" si="14"/>
        <v>0</v>
      </c>
      <c r="G55" s="14">
        <v>2</v>
      </c>
      <c r="H55" s="14"/>
      <c r="I55" s="14">
        <v>20</v>
      </c>
      <c r="J55" s="14"/>
      <c r="K55" s="14">
        <f t="shared" si="15"/>
        <v>0</v>
      </c>
      <c r="M55" s="14">
        <v>2</v>
      </c>
      <c r="N55" s="14"/>
      <c r="O55" s="14">
        <v>10</v>
      </c>
      <c r="P55" s="14"/>
      <c r="Q55" s="14">
        <f t="shared" si="16"/>
        <v>0</v>
      </c>
    </row>
    <row r="56" spans="1:17" ht="20" customHeight="1">
      <c r="A56" s="14">
        <v>3</v>
      </c>
      <c r="B56" s="14"/>
      <c r="C56" s="14">
        <v>20</v>
      </c>
      <c r="D56" s="14"/>
      <c r="E56" s="14">
        <f t="shared" si="14"/>
        <v>0</v>
      </c>
      <c r="G56" s="14">
        <v>3</v>
      </c>
      <c r="H56" s="14"/>
      <c r="I56" s="14">
        <v>20</v>
      </c>
      <c r="J56" s="14"/>
      <c r="K56" s="14">
        <f t="shared" si="15"/>
        <v>0</v>
      </c>
      <c r="M56" s="14">
        <v>3</v>
      </c>
      <c r="N56" s="14"/>
      <c r="O56" s="14">
        <v>10</v>
      </c>
      <c r="P56" s="14"/>
      <c r="Q56" s="14">
        <f t="shared" si="16"/>
        <v>0</v>
      </c>
    </row>
    <row r="57" spans="1:17" ht="20" customHeight="1">
      <c r="A57" s="14">
        <v>4</v>
      </c>
      <c r="B57" s="14"/>
      <c r="C57" s="14">
        <v>20</v>
      </c>
      <c r="D57" s="15"/>
      <c r="E57" s="14">
        <f t="shared" si="14"/>
        <v>0</v>
      </c>
      <c r="G57" s="14">
        <v>4</v>
      </c>
      <c r="H57" s="14"/>
      <c r="I57" s="14">
        <v>20</v>
      </c>
      <c r="J57" s="15"/>
      <c r="K57" s="14">
        <f t="shared" si="15"/>
        <v>0</v>
      </c>
      <c r="M57" s="14">
        <v>4</v>
      </c>
      <c r="N57" s="14"/>
      <c r="O57" s="14">
        <v>10</v>
      </c>
      <c r="P57" s="15"/>
      <c r="Q57" s="14">
        <f t="shared" si="16"/>
        <v>0</v>
      </c>
    </row>
    <row r="58" spans="1:17" ht="20" customHeight="1">
      <c r="A58" s="14">
        <v>5</v>
      </c>
      <c r="B58" s="16"/>
      <c r="C58" s="14">
        <v>20</v>
      </c>
      <c r="D58" s="14"/>
      <c r="E58" s="14">
        <f t="shared" si="14"/>
        <v>0</v>
      </c>
      <c r="G58" s="14">
        <v>5</v>
      </c>
      <c r="H58" s="16"/>
      <c r="I58" s="14">
        <v>20</v>
      </c>
      <c r="J58" s="14"/>
      <c r="K58" s="14">
        <f t="shared" si="15"/>
        <v>0</v>
      </c>
      <c r="M58" s="14">
        <v>5</v>
      </c>
      <c r="N58" s="16"/>
      <c r="O58" s="14">
        <v>10</v>
      </c>
      <c r="P58" s="14"/>
      <c r="Q58" s="14">
        <f t="shared" si="16"/>
        <v>0</v>
      </c>
    </row>
    <row r="59" spans="1:17" ht="20" customHeight="1">
      <c r="A59" s="14">
        <v>6</v>
      </c>
      <c r="B59" s="14"/>
      <c r="C59" s="14">
        <v>20</v>
      </c>
      <c r="D59" s="14"/>
      <c r="E59" s="14">
        <f t="shared" si="14"/>
        <v>0</v>
      </c>
      <c r="G59" s="14">
        <v>6</v>
      </c>
      <c r="H59" s="14"/>
      <c r="I59" s="14">
        <v>20</v>
      </c>
      <c r="J59" s="14"/>
      <c r="K59" s="14">
        <f t="shared" si="15"/>
        <v>0</v>
      </c>
      <c r="M59" s="14">
        <v>6</v>
      </c>
      <c r="N59" s="14"/>
      <c r="O59" s="14">
        <v>10</v>
      </c>
      <c r="P59" s="14"/>
      <c r="Q59" s="14">
        <f t="shared" si="16"/>
        <v>0</v>
      </c>
    </row>
    <row r="60" spans="1:17" ht="20" customHeight="1">
      <c r="A60" s="14">
        <v>7</v>
      </c>
      <c r="B60" s="16">
        <v>62.91</v>
      </c>
      <c r="C60" s="14">
        <v>20</v>
      </c>
      <c r="D60" s="14">
        <v>68.81</v>
      </c>
      <c r="E60" s="14">
        <f t="shared" si="14"/>
        <v>118</v>
      </c>
      <c r="G60" s="14">
        <v>7</v>
      </c>
      <c r="H60" s="16">
        <v>67.39</v>
      </c>
      <c r="I60" s="14">
        <v>20</v>
      </c>
      <c r="J60" s="14">
        <v>76.989999999999995</v>
      </c>
      <c r="K60" s="14">
        <f t="shared" si="15"/>
        <v>192</v>
      </c>
      <c r="M60" s="14">
        <v>7</v>
      </c>
      <c r="N60" s="16">
        <v>143.80000000000001</v>
      </c>
      <c r="O60" s="14">
        <v>10</v>
      </c>
      <c r="P60" s="14">
        <v>148.69</v>
      </c>
      <c r="Q60" s="14">
        <f t="shared" si="16"/>
        <v>48.899999999999899</v>
      </c>
    </row>
    <row r="61" spans="1:17" ht="20" customHeight="1">
      <c r="A61" s="14">
        <v>8</v>
      </c>
      <c r="B61" s="14">
        <v>68.81</v>
      </c>
      <c r="C61" s="14">
        <v>20</v>
      </c>
      <c r="D61" s="14">
        <v>73.31</v>
      </c>
      <c r="E61" s="14">
        <f t="shared" si="14"/>
        <v>90</v>
      </c>
      <c r="G61" s="14">
        <v>8</v>
      </c>
      <c r="H61" s="14">
        <v>76.989999999999995</v>
      </c>
      <c r="I61" s="14">
        <v>20</v>
      </c>
      <c r="J61" s="14">
        <v>80.41</v>
      </c>
      <c r="K61" s="14">
        <f t="shared" si="15"/>
        <v>68.400000000000006</v>
      </c>
      <c r="M61" s="14">
        <v>8</v>
      </c>
      <c r="N61" s="14">
        <v>148.69</v>
      </c>
      <c r="O61" s="14">
        <v>10</v>
      </c>
      <c r="P61" s="14">
        <v>150.94999999999999</v>
      </c>
      <c r="Q61" s="14">
        <f t="shared" si="16"/>
        <v>22.599999999999898</v>
      </c>
    </row>
    <row r="62" spans="1:17" ht="20" customHeight="1">
      <c r="A62" s="14">
        <v>9</v>
      </c>
      <c r="B62" s="14"/>
      <c r="C62" s="14">
        <v>20</v>
      </c>
      <c r="D62" s="14"/>
      <c r="E62" s="14">
        <f t="shared" si="14"/>
        <v>0</v>
      </c>
      <c r="G62" s="14">
        <v>9</v>
      </c>
      <c r="H62" s="14"/>
      <c r="I62" s="14">
        <v>20</v>
      </c>
      <c r="J62" s="14"/>
      <c r="K62" s="14">
        <f t="shared" si="15"/>
        <v>0</v>
      </c>
      <c r="M62" s="14">
        <v>9</v>
      </c>
      <c r="N62" s="14"/>
      <c r="O62" s="14">
        <v>10</v>
      </c>
      <c r="P62" s="14"/>
      <c r="Q62" s="14">
        <f t="shared" si="16"/>
        <v>0</v>
      </c>
    </row>
    <row r="63" spans="1:17" ht="20" customHeight="1">
      <c r="A63" s="14">
        <v>10</v>
      </c>
      <c r="B63" s="14"/>
      <c r="C63" s="14">
        <v>20</v>
      </c>
      <c r="D63" s="14"/>
      <c r="E63" s="14">
        <f t="shared" si="14"/>
        <v>0</v>
      </c>
      <c r="G63" s="14">
        <v>10</v>
      </c>
      <c r="H63" s="14"/>
      <c r="I63" s="14">
        <v>20</v>
      </c>
      <c r="J63" s="14"/>
      <c r="K63" s="14">
        <f t="shared" si="15"/>
        <v>0</v>
      </c>
      <c r="M63" s="14">
        <v>10</v>
      </c>
      <c r="N63" s="14"/>
      <c r="O63" s="14">
        <v>10</v>
      </c>
      <c r="P63" s="14"/>
      <c r="Q63" s="14">
        <f t="shared" si="16"/>
        <v>0</v>
      </c>
    </row>
    <row r="64" spans="1:17" ht="20" customHeight="1">
      <c r="A64" s="14">
        <v>11</v>
      </c>
      <c r="B64" s="14"/>
      <c r="C64" s="14">
        <v>20</v>
      </c>
      <c r="D64" s="14"/>
      <c r="E64" s="14">
        <f t="shared" si="14"/>
        <v>0</v>
      </c>
      <c r="G64" s="14">
        <v>11</v>
      </c>
      <c r="H64" s="14"/>
      <c r="I64" s="14">
        <v>20</v>
      </c>
      <c r="J64" s="14"/>
      <c r="K64" s="14">
        <f t="shared" si="15"/>
        <v>0</v>
      </c>
      <c r="M64" s="14">
        <v>11</v>
      </c>
      <c r="N64" s="14"/>
      <c r="O64" s="14">
        <v>10</v>
      </c>
      <c r="P64" s="14"/>
      <c r="Q64" s="14">
        <f t="shared" si="16"/>
        <v>0</v>
      </c>
    </row>
    <row r="65" spans="1:17" ht="20" customHeight="1">
      <c r="A65" s="14">
        <v>12</v>
      </c>
      <c r="B65" s="14"/>
      <c r="C65" s="14">
        <v>20</v>
      </c>
      <c r="D65" s="14"/>
      <c r="E65" s="14">
        <f t="shared" si="14"/>
        <v>0</v>
      </c>
      <c r="G65" s="14">
        <v>12</v>
      </c>
      <c r="H65" s="14"/>
      <c r="I65" s="14">
        <v>20</v>
      </c>
      <c r="J65" s="14"/>
      <c r="K65" s="14">
        <f t="shared" si="15"/>
        <v>0</v>
      </c>
      <c r="M65" s="14">
        <v>12</v>
      </c>
      <c r="N65" s="14"/>
      <c r="O65" s="14">
        <v>10</v>
      </c>
      <c r="P65" s="14"/>
      <c r="Q65" s="14">
        <f t="shared" si="16"/>
        <v>0</v>
      </c>
    </row>
    <row r="69" spans="1:17" ht="19">
      <c r="A69" s="40" t="s">
        <v>81</v>
      </c>
      <c r="B69" s="40"/>
      <c r="C69" s="40"/>
      <c r="D69" s="40"/>
      <c r="E69" s="40"/>
      <c r="G69" s="40" t="s">
        <v>82</v>
      </c>
      <c r="H69" s="40"/>
      <c r="I69" s="40"/>
      <c r="J69" s="40"/>
      <c r="K69" s="40"/>
      <c r="M69" s="40" t="s">
        <v>83</v>
      </c>
      <c r="N69" s="40"/>
      <c r="O69" s="40"/>
      <c r="P69" s="40"/>
      <c r="Q69" s="40"/>
    </row>
    <row r="70" spans="1:17" ht="15">
      <c r="A70" s="18" t="s">
        <v>64</v>
      </c>
      <c r="B70" s="18" t="s">
        <v>65</v>
      </c>
      <c r="C70" s="18" t="s">
        <v>66</v>
      </c>
      <c r="D70" s="18" t="s">
        <v>67</v>
      </c>
      <c r="E70" s="18" t="s">
        <v>68</v>
      </c>
      <c r="G70" s="18" t="s">
        <v>64</v>
      </c>
      <c r="H70" s="18" t="s">
        <v>65</v>
      </c>
      <c r="I70" s="18" t="s">
        <v>66</v>
      </c>
      <c r="J70" s="18" t="s">
        <v>67</v>
      </c>
      <c r="K70" s="18" t="s">
        <v>68</v>
      </c>
      <c r="M70" s="18" t="s">
        <v>64</v>
      </c>
      <c r="N70" s="18" t="s">
        <v>65</v>
      </c>
      <c r="O70" s="18" t="s">
        <v>66</v>
      </c>
      <c r="P70" s="18" t="s">
        <v>67</v>
      </c>
      <c r="Q70" s="18" t="s">
        <v>68</v>
      </c>
    </row>
    <row r="71" spans="1:17" ht="15">
      <c r="A71" s="18">
        <v>1</v>
      </c>
      <c r="B71" s="18"/>
      <c r="C71" s="18">
        <v>20</v>
      </c>
      <c r="D71" s="18"/>
      <c r="E71" s="18">
        <f t="shared" ref="E71:E82" si="17">(D71-B71)*C71</f>
        <v>0</v>
      </c>
      <c r="G71" s="18">
        <v>1</v>
      </c>
      <c r="H71" s="18"/>
      <c r="I71" s="18">
        <v>20</v>
      </c>
      <c r="J71" s="18"/>
      <c r="K71" s="18">
        <f t="shared" ref="K71:K82" si="18">(J71-H71)*I71</f>
        <v>0</v>
      </c>
      <c r="M71" s="18">
        <v>1</v>
      </c>
      <c r="N71" s="18"/>
      <c r="O71" s="18">
        <v>10</v>
      </c>
      <c r="P71" s="18"/>
      <c r="Q71" s="18">
        <f t="shared" ref="Q71:Q82" si="19">(P71-N71)*O71</f>
        <v>0</v>
      </c>
    </row>
    <row r="72" spans="1:17" ht="15">
      <c r="A72" s="18">
        <v>2</v>
      </c>
      <c r="B72" s="18"/>
      <c r="C72" s="18">
        <v>20</v>
      </c>
      <c r="D72" s="18"/>
      <c r="E72" s="18">
        <f t="shared" si="17"/>
        <v>0</v>
      </c>
      <c r="G72" s="18">
        <v>2</v>
      </c>
      <c r="H72" s="18"/>
      <c r="I72" s="18">
        <v>20</v>
      </c>
      <c r="J72" s="18"/>
      <c r="K72" s="18">
        <f t="shared" si="18"/>
        <v>0</v>
      </c>
      <c r="M72" s="18">
        <v>2</v>
      </c>
      <c r="N72" s="18"/>
      <c r="O72" s="18">
        <v>10</v>
      </c>
      <c r="P72" s="18"/>
      <c r="Q72" s="18">
        <f t="shared" si="19"/>
        <v>0</v>
      </c>
    </row>
    <row r="73" spans="1:17" ht="15">
      <c r="A73" s="18">
        <v>3</v>
      </c>
      <c r="B73" s="18"/>
      <c r="C73" s="18">
        <v>20</v>
      </c>
      <c r="D73" s="18"/>
      <c r="E73" s="18">
        <f t="shared" si="17"/>
        <v>0</v>
      </c>
      <c r="G73" s="18">
        <v>3</v>
      </c>
      <c r="H73" s="18"/>
      <c r="I73" s="18">
        <v>20</v>
      </c>
      <c r="J73" s="18"/>
      <c r="K73" s="18">
        <f t="shared" si="18"/>
        <v>0</v>
      </c>
      <c r="M73" s="18">
        <v>3</v>
      </c>
      <c r="N73" s="18"/>
      <c r="O73" s="18">
        <v>10</v>
      </c>
      <c r="P73" s="18"/>
      <c r="Q73" s="18">
        <f t="shared" si="19"/>
        <v>0</v>
      </c>
    </row>
    <row r="74" spans="1:17" ht="15">
      <c r="A74" s="18">
        <v>4</v>
      </c>
      <c r="B74" s="18"/>
      <c r="C74" s="18">
        <v>20</v>
      </c>
      <c r="D74" s="19"/>
      <c r="E74" s="18">
        <f t="shared" si="17"/>
        <v>0</v>
      </c>
      <c r="G74" s="18">
        <v>4</v>
      </c>
      <c r="H74" s="18"/>
      <c r="I74" s="18">
        <v>20</v>
      </c>
      <c r="J74" s="19"/>
      <c r="K74" s="18">
        <f t="shared" si="18"/>
        <v>0</v>
      </c>
      <c r="M74" s="18">
        <v>4</v>
      </c>
      <c r="N74" s="18"/>
      <c r="O74" s="18">
        <v>10</v>
      </c>
      <c r="P74" s="19"/>
      <c r="Q74" s="18">
        <f t="shared" si="19"/>
        <v>0</v>
      </c>
    </row>
    <row r="75" spans="1:17" ht="15">
      <c r="A75" s="18">
        <v>5</v>
      </c>
      <c r="B75" s="20"/>
      <c r="C75" s="18">
        <v>20</v>
      </c>
      <c r="D75" s="18"/>
      <c r="E75" s="18">
        <f t="shared" si="17"/>
        <v>0</v>
      </c>
      <c r="G75" s="18">
        <v>5</v>
      </c>
      <c r="H75" s="20"/>
      <c r="I75" s="18">
        <v>20</v>
      </c>
      <c r="J75" s="18"/>
      <c r="K75" s="18">
        <f t="shared" si="18"/>
        <v>0</v>
      </c>
      <c r="M75" s="18">
        <v>5</v>
      </c>
      <c r="N75" s="20"/>
      <c r="O75" s="18">
        <v>10</v>
      </c>
      <c r="P75" s="18"/>
      <c r="Q75" s="18">
        <f t="shared" si="19"/>
        <v>0</v>
      </c>
    </row>
    <row r="76" spans="1:17" ht="15">
      <c r="A76" s="18">
        <v>6</v>
      </c>
      <c r="B76" s="18"/>
      <c r="C76" s="18">
        <v>20</v>
      </c>
      <c r="D76" s="18"/>
      <c r="E76" s="18">
        <f t="shared" si="17"/>
        <v>0</v>
      </c>
      <c r="G76" s="18">
        <v>6</v>
      </c>
      <c r="H76" s="18"/>
      <c r="I76" s="18">
        <v>20</v>
      </c>
      <c r="J76" s="18"/>
      <c r="K76" s="18">
        <f t="shared" si="18"/>
        <v>0</v>
      </c>
      <c r="M76" s="18">
        <v>6</v>
      </c>
      <c r="N76" s="18"/>
      <c r="O76" s="18">
        <v>10</v>
      </c>
      <c r="P76" s="18"/>
      <c r="Q76" s="18">
        <f t="shared" si="19"/>
        <v>0</v>
      </c>
    </row>
    <row r="77" spans="1:17" ht="15">
      <c r="A77" s="18">
        <v>7</v>
      </c>
      <c r="B77" s="18">
        <v>126.85</v>
      </c>
      <c r="C77" s="18">
        <v>20</v>
      </c>
      <c r="D77" s="18">
        <v>139.05000000000001</v>
      </c>
      <c r="E77" s="18">
        <f t="shared" si="17"/>
        <v>244</v>
      </c>
      <c r="G77" s="18">
        <v>7</v>
      </c>
      <c r="H77" s="18">
        <v>99.98</v>
      </c>
      <c r="I77" s="18">
        <v>20</v>
      </c>
      <c r="J77" s="18">
        <v>103.32</v>
      </c>
      <c r="K77" s="18">
        <f t="shared" si="18"/>
        <v>66.799999999999798</v>
      </c>
      <c r="M77" s="18">
        <v>7</v>
      </c>
      <c r="N77" s="18">
        <v>87.16</v>
      </c>
      <c r="O77" s="18">
        <v>10</v>
      </c>
      <c r="P77" s="18">
        <v>93.46</v>
      </c>
      <c r="Q77" s="18">
        <f t="shared" si="19"/>
        <v>63</v>
      </c>
    </row>
    <row r="78" spans="1:17" ht="15">
      <c r="A78" s="18">
        <v>8</v>
      </c>
      <c r="B78" s="18">
        <v>139.05000000000001</v>
      </c>
      <c r="C78" s="18">
        <v>20</v>
      </c>
      <c r="D78" s="18">
        <v>193.57</v>
      </c>
      <c r="E78" s="18">
        <f t="shared" si="17"/>
        <v>1090.4000000000001</v>
      </c>
      <c r="G78" s="18">
        <v>8</v>
      </c>
      <c r="H78" s="18">
        <v>103.32</v>
      </c>
      <c r="I78" s="18">
        <v>20</v>
      </c>
      <c r="J78" s="18">
        <v>106.68</v>
      </c>
      <c r="K78" s="18">
        <f t="shared" si="18"/>
        <v>67.200000000000301</v>
      </c>
      <c r="M78" s="18">
        <v>8</v>
      </c>
      <c r="N78" s="18">
        <v>93.46</v>
      </c>
      <c r="O78" s="18">
        <v>10</v>
      </c>
      <c r="P78" s="18">
        <v>99.06</v>
      </c>
      <c r="Q78" s="18">
        <f t="shared" si="19"/>
        <v>56.000000000000099</v>
      </c>
    </row>
    <row r="79" spans="1:17" ht="15">
      <c r="A79" s="18">
        <v>9</v>
      </c>
      <c r="B79" s="18"/>
      <c r="C79" s="18">
        <v>20</v>
      </c>
      <c r="D79" s="18"/>
      <c r="E79" s="18">
        <f t="shared" si="17"/>
        <v>0</v>
      </c>
      <c r="G79" s="18">
        <v>9</v>
      </c>
      <c r="H79" s="18"/>
      <c r="I79" s="18">
        <v>20</v>
      </c>
      <c r="J79" s="18"/>
      <c r="K79" s="18">
        <f t="shared" si="18"/>
        <v>0</v>
      </c>
      <c r="M79" s="18">
        <v>9</v>
      </c>
      <c r="N79" s="18"/>
      <c r="O79" s="18">
        <v>10</v>
      </c>
      <c r="P79" s="18"/>
      <c r="Q79" s="18">
        <f t="shared" si="19"/>
        <v>0</v>
      </c>
    </row>
    <row r="80" spans="1:17" ht="15">
      <c r="A80" s="18">
        <v>10</v>
      </c>
      <c r="B80" s="18"/>
      <c r="C80" s="18">
        <v>20</v>
      </c>
      <c r="D80" s="18"/>
      <c r="E80" s="18">
        <f t="shared" si="17"/>
        <v>0</v>
      </c>
      <c r="G80" s="18">
        <v>10</v>
      </c>
      <c r="H80" s="18"/>
      <c r="I80" s="18">
        <v>20</v>
      </c>
      <c r="J80" s="18"/>
      <c r="K80" s="18">
        <f t="shared" si="18"/>
        <v>0</v>
      </c>
      <c r="M80" s="18">
        <v>10</v>
      </c>
      <c r="N80" s="18"/>
      <c r="O80" s="18">
        <v>10</v>
      </c>
      <c r="P80" s="18"/>
      <c r="Q80" s="18">
        <f t="shared" si="19"/>
        <v>0</v>
      </c>
    </row>
    <row r="81" spans="1:17" ht="15">
      <c r="A81" s="18">
        <v>11</v>
      </c>
      <c r="B81" s="18"/>
      <c r="C81" s="18">
        <v>20</v>
      </c>
      <c r="D81" s="18"/>
      <c r="E81" s="18">
        <f t="shared" si="17"/>
        <v>0</v>
      </c>
      <c r="G81" s="18">
        <v>11</v>
      </c>
      <c r="H81" s="18"/>
      <c r="I81" s="18">
        <v>20</v>
      </c>
      <c r="J81" s="18"/>
      <c r="K81" s="18">
        <f t="shared" si="18"/>
        <v>0</v>
      </c>
      <c r="M81" s="18">
        <v>11</v>
      </c>
      <c r="N81" s="18"/>
      <c r="O81" s="18">
        <v>10</v>
      </c>
      <c r="P81" s="18"/>
      <c r="Q81" s="18">
        <f t="shared" si="19"/>
        <v>0</v>
      </c>
    </row>
    <row r="82" spans="1:17" ht="15">
      <c r="A82" s="18">
        <v>12</v>
      </c>
      <c r="B82" s="18"/>
      <c r="C82" s="18">
        <v>20</v>
      </c>
      <c r="D82" s="18"/>
      <c r="E82" s="18">
        <f t="shared" si="17"/>
        <v>0</v>
      </c>
      <c r="G82" s="18">
        <v>12</v>
      </c>
      <c r="H82" s="18"/>
      <c r="I82" s="18">
        <v>20</v>
      </c>
      <c r="J82" s="18"/>
      <c r="K82" s="18">
        <f t="shared" si="18"/>
        <v>0</v>
      </c>
      <c r="M82" s="18">
        <v>12</v>
      </c>
      <c r="N82" s="18"/>
      <c r="O82" s="18">
        <v>10</v>
      </c>
      <c r="P82" s="18"/>
      <c r="Q82" s="18">
        <f t="shared" si="19"/>
        <v>0</v>
      </c>
    </row>
    <row r="86" spans="1:17" ht="19">
      <c r="A86" s="41" t="s">
        <v>84</v>
      </c>
      <c r="B86" s="41"/>
      <c r="C86" s="41"/>
      <c r="D86" s="41"/>
      <c r="E86" s="41"/>
      <c r="G86" s="41" t="s">
        <v>85</v>
      </c>
      <c r="H86" s="41"/>
      <c r="I86" s="41"/>
      <c r="J86" s="41"/>
      <c r="K86" s="41"/>
      <c r="M86" s="41" t="s">
        <v>86</v>
      </c>
      <c r="N86" s="41"/>
      <c r="O86" s="41"/>
      <c r="P86" s="41"/>
      <c r="Q86" s="41"/>
    </row>
    <row r="87" spans="1:17" ht="15">
      <c r="A87" s="21" t="s">
        <v>64</v>
      </c>
      <c r="B87" s="21" t="s">
        <v>65</v>
      </c>
      <c r="C87" s="21" t="s">
        <v>66</v>
      </c>
      <c r="D87" s="21" t="s">
        <v>67</v>
      </c>
      <c r="E87" s="21" t="s">
        <v>68</v>
      </c>
      <c r="G87" s="21" t="s">
        <v>64</v>
      </c>
      <c r="H87" s="21" t="s">
        <v>65</v>
      </c>
      <c r="I87" s="21" t="s">
        <v>66</v>
      </c>
      <c r="J87" s="21" t="s">
        <v>67</v>
      </c>
      <c r="K87" s="21" t="s">
        <v>68</v>
      </c>
      <c r="M87" s="21" t="s">
        <v>64</v>
      </c>
      <c r="N87" s="21" t="s">
        <v>65</v>
      </c>
      <c r="O87" s="21" t="s">
        <v>66</v>
      </c>
      <c r="P87" s="21" t="s">
        <v>67</v>
      </c>
      <c r="Q87" s="21" t="s">
        <v>68</v>
      </c>
    </row>
    <row r="88" spans="1:17" ht="15">
      <c r="A88" s="21">
        <v>1</v>
      </c>
      <c r="B88" s="21"/>
      <c r="C88" s="21">
        <v>20</v>
      </c>
      <c r="D88" s="21"/>
      <c r="E88" s="21">
        <f t="shared" ref="E88:E99" si="20">(D88-B88)*C88</f>
        <v>0</v>
      </c>
      <c r="G88" s="21">
        <v>1</v>
      </c>
      <c r="H88" s="21"/>
      <c r="I88" s="21">
        <v>20</v>
      </c>
      <c r="J88" s="21"/>
      <c r="K88" s="21">
        <f t="shared" ref="K88:K99" si="21">(J88-H88)*I88</f>
        <v>0</v>
      </c>
      <c r="M88" s="21">
        <v>1</v>
      </c>
      <c r="N88" s="21"/>
      <c r="O88" s="21">
        <v>10</v>
      </c>
      <c r="P88" s="21"/>
      <c r="Q88" s="21">
        <f t="shared" ref="Q88:Q99" si="22">(P88-N88)*O88</f>
        <v>0</v>
      </c>
    </row>
    <row r="89" spans="1:17" ht="15">
      <c r="A89" s="21">
        <v>2</v>
      </c>
      <c r="B89" s="21"/>
      <c r="C89" s="21">
        <v>20</v>
      </c>
      <c r="D89" s="21"/>
      <c r="E89" s="21">
        <f t="shared" si="20"/>
        <v>0</v>
      </c>
      <c r="G89" s="21">
        <v>2</v>
      </c>
      <c r="H89" s="21"/>
      <c r="I89" s="21">
        <v>20</v>
      </c>
      <c r="J89" s="21"/>
      <c r="K89" s="21">
        <f t="shared" si="21"/>
        <v>0</v>
      </c>
      <c r="M89" s="21">
        <v>2</v>
      </c>
      <c r="N89" s="21"/>
      <c r="O89" s="21">
        <v>10</v>
      </c>
      <c r="P89" s="21"/>
      <c r="Q89" s="21">
        <f t="shared" si="22"/>
        <v>0</v>
      </c>
    </row>
    <row r="90" spans="1:17" ht="15">
      <c r="A90" s="21">
        <v>3</v>
      </c>
      <c r="B90" s="21"/>
      <c r="C90" s="21">
        <v>20</v>
      </c>
      <c r="D90" s="21"/>
      <c r="E90" s="21">
        <f t="shared" si="20"/>
        <v>0</v>
      </c>
      <c r="G90" s="21">
        <v>3</v>
      </c>
      <c r="H90" s="21"/>
      <c r="I90" s="21">
        <v>20</v>
      </c>
      <c r="J90" s="21"/>
      <c r="K90" s="21">
        <f t="shared" si="21"/>
        <v>0</v>
      </c>
      <c r="M90" s="21">
        <v>3</v>
      </c>
      <c r="N90" s="21"/>
      <c r="O90" s="21">
        <v>10</v>
      </c>
      <c r="P90" s="21"/>
      <c r="Q90" s="21">
        <f t="shared" si="22"/>
        <v>0</v>
      </c>
    </row>
    <row r="91" spans="1:17" ht="15">
      <c r="A91" s="21">
        <v>4</v>
      </c>
      <c r="B91" s="21"/>
      <c r="C91" s="21">
        <v>20</v>
      </c>
      <c r="D91" s="22"/>
      <c r="E91" s="21">
        <f t="shared" si="20"/>
        <v>0</v>
      </c>
      <c r="G91" s="21">
        <v>4</v>
      </c>
      <c r="H91" s="21"/>
      <c r="I91" s="21">
        <v>20</v>
      </c>
      <c r="J91" s="22"/>
      <c r="K91" s="21">
        <f t="shared" si="21"/>
        <v>0</v>
      </c>
      <c r="M91" s="21">
        <v>4</v>
      </c>
      <c r="N91" s="21"/>
      <c r="O91" s="21">
        <v>10</v>
      </c>
      <c r="P91" s="22"/>
      <c r="Q91" s="21">
        <f t="shared" si="22"/>
        <v>0</v>
      </c>
    </row>
    <row r="92" spans="1:17" ht="15">
      <c r="A92" s="21">
        <v>5</v>
      </c>
      <c r="B92" s="23"/>
      <c r="C92" s="21">
        <v>20</v>
      </c>
      <c r="D92" s="21"/>
      <c r="E92" s="21">
        <f t="shared" si="20"/>
        <v>0</v>
      </c>
      <c r="G92" s="21">
        <v>5</v>
      </c>
      <c r="H92" s="23"/>
      <c r="I92" s="21">
        <v>20</v>
      </c>
      <c r="J92" s="21"/>
      <c r="K92" s="21">
        <f t="shared" si="21"/>
        <v>0</v>
      </c>
      <c r="M92" s="21">
        <v>5</v>
      </c>
      <c r="N92" s="23"/>
      <c r="O92" s="21">
        <v>10</v>
      </c>
      <c r="P92" s="21"/>
      <c r="Q92" s="21">
        <f t="shared" si="22"/>
        <v>0</v>
      </c>
    </row>
    <row r="93" spans="1:17" ht="15">
      <c r="A93" s="21">
        <v>6</v>
      </c>
      <c r="B93" s="21"/>
      <c r="C93" s="21">
        <v>20</v>
      </c>
      <c r="D93" s="21"/>
      <c r="E93" s="21">
        <f t="shared" si="20"/>
        <v>0</v>
      </c>
      <c r="G93" s="21">
        <v>6</v>
      </c>
      <c r="H93" s="21"/>
      <c r="I93" s="21">
        <v>20</v>
      </c>
      <c r="J93" s="21"/>
      <c r="K93" s="21">
        <f t="shared" si="21"/>
        <v>0</v>
      </c>
      <c r="M93" s="21">
        <v>6</v>
      </c>
      <c r="N93" s="21"/>
      <c r="O93" s="21">
        <v>10</v>
      </c>
      <c r="P93" s="21"/>
      <c r="Q93" s="21">
        <f t="shared" si="22"/>
        <v>0</v>
      </c>
    </row>
    <row r="94" spans="1:17" ht="15">
      <c r="A94" s="21">
        <v>7</v>
      </c>
      <c r="B94" s="21">
        <v>309.36</v>
      </c>
      <c r="C94" s="21">
        <v>20</v>
      </c>
      <c r="D94" s="21">
        <v>316.38</v>
      </c>
      <c r="E94" s="21">
        <f t="shared" si="20"/>
        <v>140.4</v>
      </c>
      <c r="G94" s="21">
        <v>7</v>
      </c>
      <c r="H94" s="21">
        <v>396.92</v>
      </c>
      <c r="I94" s="21">
        <v>20</v>
      </c>
      <c r="J94" s="21">
        <v>401.25</v>
      </c>
      <c r="K94" s="21">
        <f t="shared" si="21"/>
        <v>86.599999999999696</v>
      </c>
      <c r="M94" s="21">
        <v>7</v>
      </c>
      <c r="N94" s="21">
        <v>63.94</v>
      </c>
      <c r="O94" s="21">
        <v>10</v>
      </c>
      <c r="P94" s="21">
        <v>148.16999999999999</v>
      </c>
      <c r="Q94" s="21">
        <f t="shared" si="22"/>
        <v>842.3</v>
      </c>
    </row>
    <row r="95" spans="1:17" ht="15">
      <c r="A95" s="21">
        <v>8</v>
      </c>
      <c r="B95" s="21">
        <v>316.38</v>
      </c>
      <c r="C95" s="21">
        <v>20</v>
      </c>
      <c r="D95" s="21">
        <v>366.64</v>
      </c>
      <c r="E95" s="21">
        <f t="shared" si="20"/>
        <v>1005.2</v>
      </c>
      <c r="G95" s="21">
        <v>8</v>
      </c>
      <c r="H95" s="21">
        <v>401.25</v>
      </c>
      <c r="I95" s="21">
        <v>20</v>
      </c>
      <c r="J95" s="21">
        <v>401.3</v>
      </c>
      <c r="K95" s="21">
        <f t="shared" si="21"/>
        <v>1.00000000000023</v>
      </c>
      <c r="M95" s="21">
        <v>8</v>
      </c>
      <c r="N95" s="21">
        <v>148.16999999999999</v>
      </c>
      <c r="O95" s="21">
        <v>10</v>
      </c>
      <c r="P95" s="21">
        <v>152.72</v>
      </c>
      <c r="Q95" s="21">
        <f t="shared" si="22"/>
        <v>45.500000000000099</v>
      </c>
    </row>
    <row r="96" spans="1:17" ht="15">
      <c r="A96" s="21">
        <v>9</v>
      </c>
      <c r="B96" s="21"/>
      <c r="C96" s="21">
        <v>20</v>
      </c>
      <c r="D96" s="21"/>
      <c r="E96" s="21">
        <f t="shared" si="20"/>
        <v>0</v>
      </c>
      <c r="G96" s="21">
        <v>9</v>
      </c>
      <c r="H96" s="21"/>
      <c r="I96" s="21">
        <v>20</v>
      </c>
      <c r="J96" s="21"/>
      <c r="K96" s="21">
        <f t="shared" si="21"/>
        <v>0</v>
      </c>
      <c r="M96" s="21">
        <v>9</v>
      </c>
      <c r="N96" s="21"/>
      <c r="O96" s="21">
        <v>10</v>
      </c>
      <c r="P96" s="21"/>
      <c r="Q96" s="21">
        <f t="shared" si="22"/>
        <v>0</v>
      </c>
    </row>
    <row r="97" spans="1:23" ht="15">
      <c r="A97" s="21">
        <v>10</v>
      </c>
      <c r="B97" s="21"/>
      <c r="C97" s="21">
        <v>20</v>
      </c>
      <c r="D97" s="21"/>
      <c r="E97" s="21">
        <f t="shared" si="20"/>
        <v>0</v>
      </c>
      <c r="G97" s="21">
        <v>10</v>
      </c>
      <c r="H97" s="21"/>
      <c r="I97" s="21">
        <v>20</v>
      </c>
      <c r="J97" s="21"/>
      <c r="K97" s="21">
        <f t="shared" si="21"/>
        <v>0</v>
      </c>
      <c r="M97" s="21">
        <v>10</v>
      </c>
      <c r="N97" s="21"/>
      <c r="O97" s="21">
        <v>10</v>
      </c>
      <c r="P97" s="21"/>
      <c r="Q97" s="21">
        <f t="shared" si="22"/>
        <v>0</v>
      </c>
    </row>
    <row r="98" spans="1:23" ht="15">
      <c r="A98" s="21">
        <v>11</v>
      </c>
      <c r="B98" s="21"/>
      <c r="C98" s="21">
        <v>20</v>
      </c>
      <c r="D98" s="21"/>
      <c r="E98" s="21">
        <f t="shared" si="20"/>
        <v>0</v>
      </c>
      <c r="G98" s="21">
        <v>11</v>
      </c>
      <c r="H98" s="21"/>
      <c r="I98" s="21">
        <v>20</v>
      </c>
      <c r="J98" s="21"/>
      <c r="K98" s="21">
        <f t="shared" si="21"/>
        <v>0</v>
      </c>
      <c r="M98" s="21">
        <v>11</v>
      </c>
      <c r="N98" s="21"/>
      <c r="O98" s="21">
        <v>10</v>
      </c>
      <c r="P98" s="21"/>
      <c r="Q98" s="21">
        <f t="shared" si="22"/>
        <v>0</v>
      </c>
    </row>
    <row r="99" spans="1:23" ht="15">
      <c r="A99" s="21">
        <v>12</v>
      </c>
      <c r="B99" s="21"/>
      <c r="C99" s="21">
        <v>20</v>
      </c>
      <c r="D99" s="21"/>
      <c r="E99" s="21">
        <f t="shared" si="20"/>
        <v>0</v>
      </c>
      <c r="G99" s="21">
        <v>12</v>
      </c>
      <c r="H99" s="21"/>
      <c r="I99" s="21">
        <v>20</v>
      </c>
      <c r="J99" s="21"/>
      <c r="K99" s="21">
        <f t="shared" si="21"/>
        <v>0</v>
      </c>
      <c r="M99" s="21">
        <v>12</v>
      </c>
      <c r="N99" s="21"/>
      <c r="O99" s="21">
        <v>10</v>
      </c>
      <c r="P99" s="21"/>
      <c r="Q99" s="21">
        <f t="shared" si="22"/>
        <v>0</v>
      </c>
    </row>
    <row r="100" spans="1:23">
      <c r="A100" s="5"/>
      <c r="B100" s="5"/>
      <c r="C100" s="5"/>
      <c r="D100" s="5"/>
      <c r="E100" s="5"/>
    </row>
    <row r="101" spans="1:23">
      <c r="A101" s="5"/>
      <c r="B101" s="5"/>
      <c r="C101" s="5"/>
      <c r="D101" s="5"/>
      <c r="E101" s="5"/>
    </row>
    <row r="102" spans="1:23" s="5" customFormat="1"/>
    <row r="103" spans="1:23" ht="19">
      <c r="A103" s="42" t="s">
        <v>87</v>
      </c>
      <c r="B103" s="42"/>
      <c r="C103" s="42"/>
      <c r="D103" s="42"/>
      <c r="E103" s="42"/>
      <c r="G103" s="43" t="s">
        <v>88</v>
      </c>
      <c r="H103" s="43"/>
      <c r="I103" s="43"/>
      <c r="J103" s="43"/>
      <c r="K103" s="43"/>
      <c r="M103" s="43" t="s">
        <v>89</v>
      </c>
      <c r="N103" s="43"/>
      <c r="O103" s="43"/>
      <c r="P103" s="43"/>
      <c r="Q103" s="43"/>
      <c r="S103" s="43" t="s">
        <v>89</v>
      </c>
      <c r="T103" s="43"/>
      <c r="U103" s="43"/>
      <c r="V103" s="43"/>
      <c r="W103" s="43"/>
    </row>
    <row r="104" spans="1:23" ht="15">
      <c r="A104" s="24" t="s">
        <v>64</v>
      </c>
      <c r="B104" s="24" t="s">
        <v>65</v>
      </c>
      <c r="C104" s="24" t="s">
        <v>66</v>
      </c>
      <c r="D104" s="24" t="s">
        <v>67</v>
      </c>
      <c r="E104" s="24" t="s">
        <v>68</v>
      </c>
      <c r="G104" s="24" t="s">
        <v>64</v>
      </c>
      <c r="H104" s="24" t="s">
        <v>65</v>
      </c>
      <c r="I104" s="24" t="s">
        <v>66</v>
      </c>
      <c r="J104" s="24" t="s">
        <v>67</v>
      </c>
      <c r="K104" s="24" t="s">
        <v>68</v>
      </c>
      <c r="M104" s="24" t="s">
        <v>64</v>
      </c>
      <c r="N104" s="24" t="s">
        <v>65</v>
      </c>
      <c r="O104" s="24" t="s">
        <v>66</v>
      </c>
      <c r="P104" s="24" t="s">
        <v>67</v>
      </c>
      <c r="Q104" s="24" t="s">
        <v>68</v>
      </c>
      <c r="S104" s="24" t="s">
        <v>64</v>
      </c>
      <c r="T104" s="24" t="s">
        <v>65</v>
      </c>
      <c r="U104" s="24" t="s">
        <v>66</v>
      </c>
      <c r="V104" s="24" t="s">
        <v>67</v>
      </c>
      <c r="W104" s="24" t="s">
        <v>68</v>
      </c>
    </row>
    <row r="105" spans="1:23" ht="15">
      <c r="A105" s="24">
        <v>1</v>
      </c>
      <c r="B105" s="24"/>
      <c r="C105" s="24">
        <v>1</v>
      </c>
      <c r="D105" s="24"/>
      <c r="E105" s="24">
        <f t="shared" ref="E105:E116" si="23">(D105-B105)*C105</f>
        <v>0</v>
      </c>
      <c r="G105" s="24">
        <v>1</v>
      </c>
      <c r="H105" s="24"/>
      <c r="I105" s="24">
        <v>10</v>
      </c>
      <c r="J105" s="24"/>
      <c r="K105" s="24">
        <f t="shared" ref="K105:K116" si="24">(J105-H105)*I105</f>
        <v>0</v>
      </c>
      <c r="M105" s="24">
        <v>1</v>
      </c>
      <c r="N105" s="24"/>
      <c r="O105" s="24">
        <v>20</v>
      </c>
      <c r="P105" s="24"/>
      <c r="Q105" s="24">
        <f t="shared" ref="Q105:Q116" si="25">(P105-N105)*O105</f>
        <v>0</v>
      </c>
      <c r="S105" s="24">
        <v>1</v>
      </c>
      <c r="T105" s="24"/>
      <c r="U105" s="24">
        <v>20</v>
      </c>
      <c r="V105" s="24"/>
      <c r="W105" s="24">
        <f t="shared" ref="W105:W116" si="26">(V105-T105)*U105</f>
        <v>0</v>
      </c>
    </row>
    <row r="106" spans="1:23" ht="15">
      <c r="A106" s="24">
        <v>2</v>
      </c>
      <c r="B106" s="24"/>
      <c r="C106" s="24">
        <v>1</v>
      </c>
      <c r="D106" s="24"/>
      <c r="E106" s="24">
        <f t="shared" si="23"/>
        <v>0</v>
      </c>
      <c r="G106" s="24">
        <v>2</v>
      </c>
      <c r="H106" s="24"/>
      <c r="I106" s="24">
        <v>10</v>
      </c>
      <c r="J106" s="24"/>
      <c r="K106" s="24">
        <f t="shared" si="24"/>
        <v>0</v>
      </c>
      <c r="M106" s="24">
        <v>2</v>
      </c>
      <c r="N106" s="24"/>
      <c r="O106" s="24">
        <v>20</v>
      </c>
      <c r="P106" s="24"/>
      <c r="Q106" s="24">
        <f t="shared" si="25"/>
        <v>0</v>
      </c>
      <c r="S106" s="24">
        <v>2</v>
      </c>
      <c r="T106" s="24"/>
      <c r="U106" s="24">
        <v>20</v>
      </c>
      <c r="V106" s="24"/>
      <c r="W106" s="24">
        <f t="shared" si="26"/>
        <v>0</v>
      </c>
    </row>
    <row r="107" spans="1:23" ht="15">
      <c r="A107" s="24">
        <v>3</v>
      </c>
      <c r="B107" s="24"/>
      <c r="C107" s="24">
        <v>1</v>
      </c>
      <c r="D107" s="24"/>
      <c r="E107" s="24">
        <f t="shared" si="23"/>
        <v>0</v>
      </c>
      <c r="G107" s="24">
        <v>3</v>
      </c>
      <c r="H107" s="24"/>
      <c r="I107" s="24">
        <v>10</v>
      </c>
      <c r="J107" s="24"/>
      <c r="K107" s="24">
        <f t="shared" si="24"/>
        <v>0</v>
      </c>
      <c r="M107" s="24">
        <v>3</v>
      </c>
      <c r="N107" s="24"/>
      <c r="O107" s="24">
        <v>20</v>
      </c>
      <c r="P107" s="24"/>
      <c r="Q107" s="24">
        <f t="shared" si="25"/>
        <v>0</v>
      </c>
      <c r="S107" s="24">
        <v>3</v>
      </c>
      <c r="T107" s="24"/>
      <c r="U107" s="24">
        <v>20</v>
      </c>
      <c r="V107" s="24"/>
      <c r="W107" s="24">
        <f t="shared" si="26"/>
        <v>0</v>
      </c>
    </row>
    <row r="108" spans="1:23" ht="15">
      <c r="A108" s="24">
        <v>4</v>
      </c>
      <c r="B108" s="24"/>
      <c r="C108" s="24">
        <v>1</v>
      </c>
      <c r="D108" s="25"/>
      <c r="E108" s="24">
        <f t="shared" si="23"/>
        <v>0</v>
      </c>
      <c r="G108" s="24">
        <v>4</v>
      </c>
      <c r="H108" s="24"/>
      <c r="I108" s="24">
        <v>10</v>
      </c>
      <c r="J108" s="26"/>
      <c r="K108" s="24">
        <f t="shared" si="24"/>
        <v>0</v>
      </c>
      <c r="M108" s="24">
        <v>4</v>
      </c>
      <c r="N108" s="24"/>
      <c r="O108" s="24">
        <v>20</v>
      </c>
      <c r="P108" s="30"/>
      <c r="Q108" s="24">
        <f t="shared" si="25"/>
        <v>0</v>
      </c>
      <c r="S108" s="24">
        <v>4</v>
      </c>
      <c r="T108" s="24"/>
      <c r="U108" s="24">
        <v>20</v>
      </c>
      <c r="V108" s="30"/>
      <c r="W108" s="24">
        <f t="shared" si="26"/>
        <v>0</v>
      </c>
    </row>
    <row r="109" spans="1:23" ht="15">
      <c r="A109" s="24">
        <v>5</v>
      </c>
      <c r="B109" s="24"/>
      <c r="C109" s="24">
        <v>1</v>
      </c>
      <c r="D109" s="24"/>
      <c r="E109" s="24">
        <f t="shared" si="23"/>
        <v>0</v>
      </c>
      <c r="G109" s="24">
        <v>5</v>
      </c>
      <c r="H109" s="26"/>
      <c r="I109" s="24">
        <v>10</v>
      </c>
      <c r="J109" s="24"/>
      <c r="K109" s="24">
        <f t="shared" si="24"/>
        <v>0</v>
      </c>
      <c r="M109" s="24">
        <v>5</v>
      </c>
      <c r="N109" s="30"/>
      <c r="O109" s="24">
        <v>20</v>
      </c>
      <c r="P109" s="24"/>
      <c r="Q109" s="24">
        <f t="shared" si="25"/>
        <v>0</v>
      </c>
      <c r="S109" s="24">
        <v>5</v>
      </c>
      <c r="T109" s="30"/>
      <c r="U109" s="24">
        <v>20</v>
      </c>
      <c r="V109" s="24"/>
      <c r="W109" s="24">
        <f t="shared" si="26"/>
        <v>0</v>
      </c>
    </row>
    <row r="110" spans="1:23" ht="15">
      <c r="A110" s="24">
        <v>6</v>
      </c>
      <c r="B110" s="25"/>
      <c r="C110" s="24">
        <v>1</v>
      </c>
      <c r="D110" s="24"/>
      <c r="E110" s="24">
        <f t="shared" si="23"/>
        <v>0</v>
      </c>
      <c r="G110" s="24">
        <v>6</v>
      </c>
      <c r="H110" s="24"/>
      <c r="I110" s="24">
        <v>10</v>
      </c>
      <c r="J110" s="24"/>
      <c r="K110" s="24">
        <f t="shared" si="24"/>
        <v>0</v>
      </c>
      <c r="M110" s="24">
        <v>6</v>
      </c>
      <c r="N110" s="24"/>
      <c r="O110" s="24">
        <v>20</v>
      </c>
      <c r="P110" s="24"/>
      <c r="Q110" s="24">
        <f t="shared" si="25"/>
        <v>0</v>
      </c>
      <c r="S110" s="24">
        <v>6</v>
      </c>
      <c r="T110" s="24"/>
      <c r="U110" s="24">
        <v>20</v>
      </c>
      <c r="V110" s="24"/>
      <c r="W110" s="24">
        <f t="shared" si="26"/>
        <v>0</v>
      </c>
    </row>
    <row r="111" spans="1:23" ht="15">
      <c r="A111" s="24">
        <v>7</v>
      </c>
      <c r="B111" s="24"/>
      <c r="C111" s="24">
        <v>1</v>
      </c>
      <c r="D111" s="24"/>
      <c r="E111" s="24">
        <f t="shared" si="23"/>
        <v>0</v>
      </c>
      <c r="G111" s="24">
        <v>7</v>
      </c>
      <c r="H111" s="24"/>
      <c r="I111" s="24">
        <v>10</v>
      </c>
      <c r="J111" s="24"/>
      <c r="K111" s="24">
        <f t="shared" si="24"/>
        <v>0</v>
      </c>
      <c r="M111" s="24">
        <v>7</v>
      </c>
      <c r="N111" s="24"/>
      <c r="O111" s="24">
        <v>20</v>
      </c>
      <c r="P111" s="24"/>
      <c r="Q111" s="24">
        <f t="shared" si="25"/>
        <v>0</v>
      </c>
      <c r="S111" s="24">
        <v>7</v>
      </c>
      <c r="T111" s="24"/>
      <c r="U111" s="24">
        <v>20</v>
      </c>
      <c r="V111" s="24"/>
      <c r="W111" s="24">
        <f t="shared" si="26"/>
        <v>0</v>
      </c>
    </row>
    <row r="112" spans="1:23" ht="15">
      <c r="A112" s="24">
        <v>8</v>
      </c>
      <c r="B112" s="24"/>
      <c r="C112" s="24">
        <v>1</v>
      </c>
      <c r="D112" s="24">
        <v>3054.97</v>
      </c>
      <c r="E112" s="24">
        <f t="shared" si="23"/>
        <v>3054.97</v>
      </c>
      <c r="G112" s="24">
        <v>8</v>
      </c>
      <c r="H112" s="24"/>
      <c r="I112" s="24">
        <v>10</v>
      </c>
      <c r="J112" s="24">
        <v>72.819999999999993</v>
      </c>
      <c r="K112" s="24">
        <f t="shared" si="24"/>
        <v>728.2</v>
      </c>
      <c r="M112" s="24">
        <v>8</v>
      </c>
      <c r="N112" s="24"/>
      <c r="O112" s="24">
        <v>20</v>
      </c>
      <c r="P112" s="24">
        <v>75.599999999999994</v>
      </c>
      <c r="Q112" s="24">
        <f t="shared" si="25"/>
        <v>1512</v>
      </c>
      <c r="S112" s="24">
        <v>8</v>
      </c>
      <c r="T112" s="24"/>
      <c r="U112" s="24">
        <v>20</v>
      </c>
      <c r="V112" s="24"/>
      <c r="W112" s="24">
        <f t="shared" si="26"/>
        <v>0</v>
      </c>
    </row>
    <row r="113" spans="1:23" ht="15">
      <c r="A113" s="24">
        <v>9</v>
      </c>
      <c r="B113" s="24"/>
      <c r="C113" s="24">
        <v>1</v>
      </c>
      <c r="D113" s="24"/>
      <c r="E113" s="24">
        <f t="shared" si="23"/>
        <v>0</v>
      </c>
      <c r="G113" s="24">
        <v>9</v>
      </c>
      <c r="H113" s="24"/>
      <c r="I113" s="24">
        <v>10</v>
      </c>
      <c r="J113" s="24"/>
      <c r="K113" s="24">
        <f t="shared" si="24"/>
        <v>0</v>
      </c>
      <c r="M113" s="24">
        <v>9</v>
      </c>
      <c r="N113" s="24"/>
      <c r="O113" s="24">
        <v>20</v>
      </c>
      <c r="P113" s="24"/>
      <c r="Q113" s="24">
        <f t="shared" si="25"/>
        <v>0</v>
      </c>
      <c r="S113" s="24">
        <v>9</v>
      </c>
      <c r="T113" s="24">
        <v>74.31</v>
      </c>
      <c r="U113" s="24">
        <v>20</v>
      </c>
      <c r="V113" s="24"/>
      <c r="W113" s="24">
        <f t="shared" si="26"/>
        <v>-1486.2</v>
      </c>
    </row>
    <row r="114" spans="1:23" ht="15">
      <c r="A114" s="24">
        <v>10</v>
      </c>
      <c r="B114" s="24"/>
      <c r="C114" s="24">
        <v>1</v>
      </c>
      <c r="D114" s="24"/>
      <c r="E114" s="24">
        <f t="shared" si="23"/>
        <v>0</v>
      </c>
      <c r="G114" s="24">
        <v>10</v>
      </c>
      <c r="H114" s="24"/>
      <c r="I114" s="24">
        <v>10</v>
      </c>
      <c r="J114" s="24"/>
      <c r="K114" s="24">
        <f t="shared" si="24"/>
        <v>0</v>
      </c>
      <c r="M114" s="24">
        <v>10</v>
      </c>
      <c r="N114" s="24"/>
      <c r="O114" s="24">
        <v>20</v>
      </c>
      <c r="P114" s="24"/>
      <c r="Q114" s="24">
        <f t="shared" si="25"/>
        <v>0</v>
      </c>
      <c r="S114" s="24">
        <v>10</v>
      </c>
      <c r="T114" s="24"/>
      <c r="U114" s="24">
        <v>20</v>
      </c>
      <c r="V114" s="24"/>
      <c r="W114" s="24">
        <f t="shared" si="26"/>
        <v>0</v>
      </c>
    </row>
    <row r="115" spans="1:23" ht="15">
      <c r="A115" s="24">
        <v>11</v>
      </c>
      <c r="B115" s="24"/>
      <c r="C115" s="24">
        <v>1</v>
      </c>
      <c r="D115" s="24"/>
      <c r="E115" s="24">
        <f t="shared" si="23"/>
        <v>0</v>
      </c>
      <c r="G115" s="24">
        <v>11</v>
      </c>
      <c r="H115" s="24"/>
      <c r="I115" s="24">
        <v>10</v>
      </c>
      <c r="J115" s="24"/>
      <c r="K115" s="24">
        <f t="shared" si="24"/>
        <v>0</v>
      </c>
      <c r="M115" s="24">
        <v>11</v>
      </c>
      <c r="N115" s="24"/>
      <c r="O115" s="24">
        <v>20</v>
      </c>
      <c r="P115" s="24"/>
      <c r="Q115" s="24">
        <f t="shared" si="25"/>
        <v>0</v>
      </c>
      <c r="S115" s="24">
        <v>11</v>
      </c>
      <c r="T115" s="24"/>
      <c r="U115" s="24">
        <v>20</v>
      </c>
      <c r="V115" s="24"/>
      <c r="W115" s="24">
        <f t="shared" si="26"/>
        <v>0</v>
      </c>
    </row>
    <row r="116" spans="1:23" ht="15">
      <c r="A116" s="24">
        <v>12</v>
      </c>
      <c r="B116" s="24"/>
      <c r="C116" s="24">
        <v>1</v>
      </c>
      <c r="D116" s="24"/>
      <c r="E116" s="24">
        <f t="shared" si="23"/>
        <v>0</v>
      </c>
      <c r="G116" s="24">
        <v>12</v>
      </c>
      <c r="H116" s="24"/>
      <c r="I116" s="24">
        <v>10</v>
      </c>
      <c r="J116" s="24"/>
      <c r="K116" s="24">
        <f t="shared" si="24"/>
        <v>0</v>
      </c>
      <c r="M116" s="24">
        <v>12</v>
      </c>
      <c r="N116" s="24"/>
      <c r="O116" s="24">
        <v>20</v>
      </c>
      <c r="P116" s="24"/>
      <c r="Q116" s="24">
        <f t="shared" si="25"/>
        <v>0</v>
      </c>
      <c r="S116" s="24">
        <v>12</v>
      </c>
      <c r="T116" s="24"/>
      <c r="U116" s="24">
        <v>20</v>
      </c>
      <c r="V116" s="24"/>
      <c r="W116" s="24">
        <f t="shared" si="26"/>
        <v>0</v>
      </c>
    </row>
    <row r="117" spans="1:23" s="5" customForma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</row>
    <row r="118" spans="1:23" s="5" customForma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</row>
    <row r="119" spans="1:23" s="5" customForma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</row>
    <row r="120" spans="1:23" ht="19">
      <c r="A120" s="44" t="s">
        <v>90</v>
      </c>
      <c r="B120" s="44"/>
      <c r="C120" s="44"/>
      <c r="D120" s="44"/>
      <c r="E120" s="44"/>
      <c r="G120" s="44" t="s">
        <v>91</v>
      </c>
      <c r="H120" s="44"/>
      <c r="I120" s="44"/>
      <c r="J120" s="44"/>
      <c r="K120" s="44"/>
    </row>
    <row r="121" spans="1:23" ht="15">
      <c r="A121" s="27" t="s">
        <v>64</v>
      </c>
      <c r="B121" s="27" t="s">
        <v>65</v>
      </c>
      <c r="C121" s="27" t="s">
        <v>66</v>
      </c>
      <c r="D121" s="27" t="s">
        <v>67</v>
      </c>
      <c r="E121" s="27" t="s">
        <v>68</v>
      </c>
      <c r="G121" s="27" t="s">
        <v>64</v>
      </c>
      <c r="H121" s="27" t="s">
        <v>65</v>
      </c>
      <c r="I121" s="27" t="s">
        <v>66</v>
      </c>
      <c r="J121" s="27" t="s">
        <v>67</v>
      </c>
      <c r="K121" s="27" t="s">
        <v>68</v>
      </c>
    </row>
    <row r="122" spans="1:23" ht="15">
      <c r="A122" s="27">
        <v>1</v>
      </c>
      <c r="B122" s="27"/>
      <c r="C122" s="27">
        <v>20</v>
      </c>
      <c r="D122" s="27"/>
      <c r="E122" s="27">
        <f t="shared" ref="E122:E133" si="27">(D122-B122)*C122</f>
        <v>0</v>
      </c>
      <c r="G122" s="27">
        <v>1</v>
      </c>
      <c r="H122" s="27"/>
      <c r="I122" s="27">
        <v>20</v>
      </c>
      <c r="J122" s="27"/>
      <c r="K122" s="27">
        <f t="shared" ref="K122:K133" si="28">(J122-H122)*I122</f>
        <v>0</v>
      </c>
    </row>
    <row r="123" spans="1:23" ht="15">
      <c r="A123" s="27">
        <v>2</v>
      </c>
      <c r="B123" s="27"/>
      <c r="C123" s="27">
        <v>20</v>
      </c>
      <c r="D123" s="27"/>
      <c r="E123" s="27">
        <f t="shared" si="27"/>
        <v>0</v>
      </c>
      <c r="G123" s="27">
        <v>2</v>
      </c>
      <c r="H123" s="27"/>
      <c r="I123" s="27">
        <v>20</v>
      </c>
      <c r="J123" s="27"/>
      <c r="K123" s="27">
        <f t="shared" si="28"/>
        <v>0</v>
      </c>
    </row>
    <row r="124" spans="1:23" ht="15">
      <c r="A124" s="27">
        <v>3</v>
      </c>
      <c r="B124" s="27"/>
      <c r="C124" s="27">
        <v>20</v>
      </c>
      <c r="D124" s="27"/>
      <c r="E124" s="27">
        <f t="shared" si="27"/>
        <v>0</v>
      </c>
      <c r="G124" s="27">
        <v>3</v>
      </c>
      <c r="H124" s="27"/>
      <c r="I124" s="27">
        <v>20</v>
      </c>
      <c r="J124" s="27"/>
      <c r="K124" s="27">
        <f t="shared" si="28"/>
        <v>0</v>
      </c>
    </row>
    <row r="125" spans="1:23" ht="15">
      <c r="A125" s="27">
        <v>4</v>
      </c>
      <c r="B125" s="27"/>
      <c r="C125" s="27">
        <v>20</v>
      </c>
      <c r="D125" s="28"/>
      <c r="E125" s="27">
        <f t="shared" si="27"/>
        <v>0</v>
      </c>
      <c r="G125" s="27">
        <v>4</v>
      </c>
      <c r="H125" s="27"/>
      <c r="I125" s="27">
        <v>20</v>
      </c>
      <c r="J125" s="28"/>
      <c r="K125" s="27">
        <f t="shared" si="28"/>
        <v>0</v>
      </c>
    </row>
    <row r="126" spans="1:23" ht="15">
      <c r="A126" s="27">
        <v>5</v>
      </c>
      <c r="B126" s="29"/>
      <c r="C126" s="27">
        <v>20</v>
      </c>
      <c r="D126" s="27"/>
      <c r="E126" s="27">
        <f t="shared" si="27"/>
        <v>0</v>
      </c>
      <c r="G126" s="27">
        <v>5</v>
      </c>
      <c r="H126" s="29"/>
      <c r="I126" s="27">
        <v>20</v>
      </c>
      <c r="J126" s="27"/>
      <c r="K126" s="27">
        <f t="shared" si="28"/>
        <v>0</v>
      </c>
    </row>
    <row r="127" spans="1:23" ht="15">
      <c r="A127" s="27">
        <v>6</v>
      </c>
      <c r="B127" s="27"/>
      <c r="C127" s="27">
        <v>20</v>
      </c>
      <c r="D127" s="27"/>
      <c r="E127" s="27">
        <f t="shared" si="27"/>
        <v>0</v>
      </c>
      <c r="G127" s="27">
        <v>6</v>
      </c>
      <c r="H127" s="27"/>
      <c r="I127" s="27">
        <v>20</v>
      </c>
      <c r="J127" s="27"/>
      <c r="K127" s="27">
        <f t="shared" si="28"/>
        <v>0</v>
      </c>
    </row>
    <row r="128" spans="1:23" ht="15">
      <c r="A128" s="27">
        <v>7</v>
      </c>
      <c r="B128" s="27"/>
      <c r="C128" s="27">
        <v>20</v>
      </c>
      <c r="D128" s="27"/>
      <c r="E128" s="27">
        <f t="shared" si="27"/>
        <v>0</v>
      </c>
      <c r="G128" s="27">
        <v>7</v>
      </c>
      <c r="H128" s="27"/>
      <c r="I128" s="27">
        <v>20</v>
      </c>
      <c r="J128" s="27"/>
      <c r="K128" s="27">
        <f t="shared" si="28"/>
        <v>0</v>
      </c>
    </row>
    <row r="129" spans="1:11" ht="15">
      <c r="A129" s="27">
        <v>8</v>
      </c>
      <c r="B129" s="27"/>
      <c r="C129" s="27">
        <v>20</v>
      </c>
      <c r="D129" s="27"/>
      <c r="E129" s="27">
        <f t="shared" si="27"/>
        <v>0</v>
      </c>
      <c r="G129" s="27">
        <v>8</v>
      </c>
      <c r="H129" s="27"/>
      <c r="I129" s="27">
        <v>20</v>
      </c>
      <c r="J129" s="27"/>
      <c r="K129" s="27">
        <f t="shared" si="28"/>
        <v>0</v>
      </c>
    </row>
    <row r="130" spans="1:11" ht="15">
      <c r="A130" s="27">
        <v>9</v>
      </c>
      <c r="B130" s="27"/>
      <c r="C130" s="27">
        <v>20</v>
      </c>
      <c r="D130" s="27">
        <v>496.83</v>
      </c>
      <c r="E130" s="27">
        <f t="shared" si="27"/>
        <v>9936.6</v>
      </c>
      <c r="G130" s="27">
        <v>9</v>
      </c>
      <c r="H130" s="27"/>
      <c r="I130" s="27">
        <v>20</v>
      </c>
      <c r="J130" s="27">
        <v>10.74</v>
      </c>
      <c r="K130" s="27">
        <f t="shared" si="28"/>
        <v>214.8</v>
      </c>
    </row>
    <row r="131" spans="1:11" ht="15">
      <c r="A131" s="27">
        <v>10</v>
      </c>
      <c r="B131" s="27">
        <v>496.83</v>
      </c>
      <c r="C131" s="27">
        <v>20</v>
      </c>
      <c r="D131" s="27"/>
      <c r="E131" s="27">
        <f t="shared" si="27"/>
        <v>-9936.6</v>
      </c>
      <c r="G131" s="27">
        <v>10</v>
      </c>
      <c r="H131" s="27">
        <v>10.74</v>
      </c>
      <c r="I131" s="27">
        <v>20</v>
      </c>
      <c r="J131" s="27"/>
      <c r="K131" s="27">
        <f t="shared" si="28"/>
        <v>-214.8</v>
      </c>
    </row>
    <row r="132" spans="1:11" ht="15">
      <c r="A132" s="27">
        <v>11</v>
      </c>
      <c r="B132" s="27"/>
      <c r="C132" s="27">
        <v>20</v>
      </c>
      <c r="D132" s="27"/>
      <c r="E132" s="27">
        <f t="shared" si="27"/>
        <v>0</v>
      </c>
      <c r="G132" s="27">
        <v>11</v>
      </c>
      <c r="H132" s="27"/>
      <c r="I132" s="27">
        <v>20</v>
      </c>
      <c r="J132" s="27"/>
      <c r="K132" s="27">
        <f t="shared" si="28"/>
        <v>0</v>
      </c>
    </row>
    <row r="133" spans="1:11" ht="15">
      <c r="A133" s="27">
        <v>12</v>
      </c>
      <c r="B133" s="27"/>
      <c r="C133" s="27">
        <v>20</v>
      </c>
      <c r="D133" s="27"/>
      <c r="E133" s="27">
        <f t="shared" si="27"/>
        <v>0</v>
      </c>
      <c r="G133" s="27">
        <v>12</v>
      </c>
      <c r="H133" s="27"/>
      <c r="I133" s="27">
        <v>20</v>
      </c>
      <c r="J133" s="27"/>
      <c r="K133" s="27">
        <f t="shared" si="28"/>
        <v>0</v>
      </c>
    </row>
  </sheetData>
  <mergeCells count="29">
    <mergeCell ref="S103:W103"/>
    <mergeCell ref="A120:E120"/>
    <mergeCell ref="G120:K120"/>
    <mergeCell ref="A86:E86"/>
    <mergeCell ref="G86:K86"/>
    <mergeCell ref="M86:Q86"/>
    <mergeCell ref="A103:E103"/>
    <mergeCell ref="G103:K103"/>
    <mergeCell ref="M103:Q103"/>
    <mergeCell ref="Y35:AC35"/>
    <mergeCell ref="A52:E52"/>
    <mergeCell ref="G52:K52"/>
    <mergeCell ref="M52:Q52"/>
    <mergeCell ref="A69:E69"/>
    <mergeCell ref="G69:K69"/>
    <mergeCell ref="M69:Q69"/>
    <mergeCell ref="A18:E18"/>
    <mergeCell ref="G18:K18"/>
    <mergeCell ref="M18:Q18"/>
    <mergeCell ref="S18:W18"/>
    <mergeCell ref="A35:E35"/>
    <mergeCell ref="G35:K35"/>
    <mergeCell ref="M35:Q35"/>
    <mergeCell ref="S35:W35"/>
    <mergeCell ref="A1:E1"/>
    <mergeCell ref="G1:K1"/>
    <mergeCell ref="M1:Q1"/>
    <mergeCell ref="S1:W1"/>
    <mergeCell ref="Y1:AC1"/>
  </mergeCells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0"/>
  <sheetViews>
    <sheetView workbookViewId="0">
      <selection activeCell="L33" sqref="L33"/>
    </sheetView>
  </sheetViews>
  <sheetFormatPr baseColWidth="10" defaultColWidth="9" defaultRowHeight="14"/>
  <cols>
    <col min="1" max="5" width="15.6640625" customWidth="1"/>
  </cols>
  <sheetData>
    <row r="1" spans="1:5" ht="40" customHeight="1">
      <c r="A1" s="45" t="s">
        <v>92</v>
      </c>
      <c r="B1" s="45"/>
      <c r="C1" s="45"/>
      <c r="D1" s="45"/>
      <c r="E1" s="45"/>
    </row>
    <row r="2" spans="1:5" ht="20" customHeight="1">
      <c r="A2" s="1" t="s">
        <v>64</v>
      </c>
      <c r="B2" s="1" t="s">
        <v>65</v>
      </c>
      <c r="C2" s="1" t="s">
        <v>66</v>
      </c>
      <c r="D2" s="1" t="s">
        <v>67</v>
      </c>
      <c r="E2" s="1" t="s">
        <v>68</v>
      </c>
    </row>
    <row r="3" spans="1:5" ht="20" customHeight="1">
      <c r="A3" s="1">
        <v>1</v>
      </c>
      <c r="B3" s="1"/>
      <c r="C3" s="1">
        <v>20</v>
      </c>
      <c r="D3" s="1"/>
      <c r="E3" s="1">
        <f t="shared" ref="E3:E14" si="0">(D3-B3)*C3</f>
        <v>0</v>
      </c>
    </row>
    <row r="4" spans="1:5" ht="20" customHeight="1">
      <c r="A4" s="1">
        <v>2</v>
      </c>
      <c r="B4" s="1"/>
      <c r="C4" s="1">
        <v>20</v>
      </c>
      <c r="D4" s="1"/>
      <c r="E4" s="1">
        <f t="shared" si="0"/>
        <v>0</v>
      </c>
    </row>
    <row r="5" spans="1:5" ht="20" customHeight="1">
      <c r="A5" s="1">
        <v>3</v>
      </c>
      <c r="B5" s="1"/>
      <c r="C5" s="1">
        <v>20</v>
      </c>
      <c r="D5" s="1"/>
      <c r="E5" s="1">
        <f t="shared" si="0"/>
        <v>0</v>
      </c>
    </row>
    <row r="6" spans="1:5" ht="20" customHeight="1">
      <c r="A6" s="1">
        <v>4</v>
      </c>
      <c r="B6" s="1"/>
      <c r="C6" s="1">
        <v>20</v>
      </c>
      <c r="D6" s="2"/>
      <c r="E6" s="1">
        <f t="shared" si="0"/>
        <v>0</v>
      </c>
    </row>
    <row r="7" spans="1:5" ht="20" customHeight="1">
      <c r="A7" s="1">
        <v>5</v>
      </c>
      <c r="B7" s="1">
        <v>14110.9</v>
      </c>
      <c r="C7" s="1">
        <v>20</v>
      </c>
      <c r="D7" s="1">
        <v>14247.77</v>
      </c>
      <c r="E7" s="1">
        <f t="shared" si="0"/>
        <v>2737.4000000000201</v>
      </c>
    </row>
    <row r="8" spans="1:5" ht="20" customHeight="1">
      <c r="A8" s="1">
        <v>6</v>
      </c>
      <c r="B8" s="1">
        <v>14247.77</v>
      </c>
      <c r="C8" s="1">
        <v>20</v>
      </c>
      <c r="D8" s="1">
        <v>14307.91</v>
      </c>
      <c r="E8" s="1">
        <f t="shared" si="0"/>
        <v>1202.79999999999</v>
      </c>
    </row>
    <row r="9" spans="1:5" ht="20" customHeight="1">
      <c r="A9" s="1">
        <v>7</v>
      </c>
      <c r="B9" s="1">
        <v>14307.91</v>
      </c>
      <c r="C9" s="1">
        <v>20</v>
      </c>
      <c r="D9" s="1">
        <v>14473.96</v>
      </c>
      <c r="E9" s="1">
        <f t="shared" si="0"/>
        <v>3320.99999999999</v>
      </c>
    </row>
    <row r="10" spans="1:5" ht="20" customHeight="1">
      <c r="A10" s="1">
        <v>8</v>
      </c>
      <c r="B10" s="1">
        <v>14473.96</v>
      </c>
      <c r="C10" s="1">
        <v>20</v>
      </c>
      <c r="D10" s="1">
        <v>14565.36</v>
      </c>
      <c r="E10" s="1">
        <f t="shared" si="0"/>
        <v>1828.00000000003</v>
      </c>
    </row>
    <row r="11" spans="1:5" ht="20" customHeight="1">
      <c r="A11" s="1">
        <v>9</v>
      </c>
      <c r="B11" s="1"/>
      <c r="C11" s="1">
        <v>20</v>
      </c>
      <c r="D11" s="1"/>
      <c r="E11" s="1">
        <f t="shared" si="0"/>
        <v>0</v>
      </c>
    </row>
    <row r="12" spans="1:5" ht="20" customHeight="1">
      <c r="A12" s="1">
        <v>10</v>
      </c>
      <c r="B12" s="1"/>
      <c r="C12" s="1">
        <v>20</v>
      </c>
      <c r="D12" s="1"/>
      <c r="E12" s="1">
        <f t="shared" si="0"/>
        <v>0</v>
      </c>
    </row>
    <row r="13" spans="1:5" ht="20" customHeight="1">
      <c r="A13" s="1">
        <v>11</v>
      </c>
      <c r="B13" s="1"/>
      <c r="C13" s="1">
        <v>20</v>
      </c>
      <c r="D13" s="1"/>
      <c r="E13" s="1">
        <f t="shared" si="0"/>
        <v>0</v>
      </c>
    </row>
    <row r="14" spans="1:5" ht="20" customHeight="1">
      <c r="A14" s="1">
        <v>12</v>
      </c>
      <c r="B14" s="1"/>
      <c r="C14" s="1">
        <v>20</v>
      </c>
      <c r="D14" s="1"/>
      <c r="E14" s="1">
        <f t="shared" si="0"/>
        <v>0</v>
      </c>
    </row>
    <row r="18" spans="1:5" ht="40" customHeight="1">
      <c r="A18" s="45" t="s">
        <v>93</v>
      </c>
      <c r="B18" s="45"/>
      <c r="C18" s="45"/>
      <c r="D18" s="45"/>
      <c r="E18" s="45"/>
    </row>
    <row r="19" spans="1:5" ht="20" customHeight="1">
      <c r="A19" s="1" t="s">
        <v>64</v>
      </c>
      <c r="B19" s="1" t="s">
        <v>65</v>
      </c>
      <c r="C19" s="1" t="s">
        <v>66</v>
      </c>
      <c r="D19" s="1" t="s">
        <v>67</v>
      </c>
      <c r="E19" s="1" t="s">
        <v>68</v>
      </c>
    </row>
    <row r="20" spans="1:5" ht="20" customHeight="1">
      <c r="A20" s="1">
        <v>1</v>
      </c>
      <c r="B20" s="1"/>
      <c r="C20" s="1">
        <v>20</v>
      </c>
      <c r="D20" s="1"/>
      <c r="E20" s="1">
        <f t="shared" ref="E20:E31" si="1">(D20-B20)*C20</f>
        <v>0</v>
      </c>
    </row>
    <row r="21" spans="1:5" ht="20" customHeight="1">
      <c r="A21" s="1">
        <v>2</v>
      </c>
      <c r="B21" s="1"/>
      <c r="C21" s="1">
        <v>20</v>
      </c>
      <c r="D21" s="1"/>
      <c r="E21" s="1">
        <f t="shared" si="1"/>
        <v>0</v>
      </c>
    </row>
    <row r="22" spans="1:5" ht="20" customHeight="1">
      <c r="A22" s="1">
        <v>3</v>
      </c>
      <c r="B22" s="1"/>
      <c r="C22" s="1">
        <v>20</v>
      </c>
      <c r="D22" s="1"/>
      <c r="E22" s="1">
        <f t="shared" si="1"/>
        <v>0</v>
      </c>
    </row>
    <row r="23" spans="1:5" ht="20" customHeight="1">
      <c r="A23" s="1">
        <v>4</v>
      </c>
      <c r="B23" s="1"/>
      <c r="C23" s="1">
        <v>20</v>
      </c>
      <c r="D23" s="3"/>
      <c r="E23" s="1">
        <f t="shared" si="1"/>
        <v>0</v>
      </c>
    </row>
    <row r="24" spans="1:5" ht="20" customHeight="1">
      <c r="A24" s="1">
        <v>5</v>
      </c>
      <c r="B24" s="1">
        <v>7135.24</v>
      </c>
      <c r="C24" s="1">
        <v>20</v>
      </c>
      <c r="D24" s="1">
        <v>7145.25</v>
      </c>
      <c r="E24" s="1">
        <f t="shared" si="1"/>
        <v>200.200000000004</v>
      </c>
    </row>
    <row r="25" spans="1:5" ht="20" customHeight="1">
      <c r="A25" s="1">
        <v>6</v>
      </c>
      <c r="B25" s="1">
        <v>7145.25</v>
      </c>
      <c r="C25" s="1">
        <v>20</v>
      </c>
      <c r="D25" s="1">
        <v>7188.98</v>
      </c>
      <c r="E25" s="1">
        <f t="shared" si="1"/>
        <v>874.59999999999104</v>
      </c>
    </row>
    <row r="26" spans="1:5" ht="20" customHeight="1">
      <c r="A26" s="1">
        <v>7</v>
      </c>
      <c r="B26" s="1">
        <v>7188.98</v>
      </c>
      <c r="C26" s="1">
        <v>20</v>
      </c>
      <c r="D26" s="1">
        <v>7301.62</v>
      </c>
      <c r="E26" s="1">
        <f t="shared" si="1"/>
        <v>2252.8000000000102</v>
      </c>
    </row>
    <row r="27" spans="1:5" ht="20" customHeight="1">
      <c r="A27" s="1">
        <v>8</v>
      </c>
      <c r="B27" s="1">
        <v>7301.62</v>
      </c>
      <c r="C27" s="1">
        <v>20</v>
      </c>
      <c r="D27" s="1">
        <v>7344.18</v>
      </c>
      <c r="E27" s="1">
        <f t="shared" si="1"/>
        <v>851.200000000008</v>
      </c>
    </row>
    <row r="28" spans="1:5" ht="20" customHeight="1">
      <c r="A28" s="1">
        <v>9</v>
      </c>
      <c r="B28" s="1"/>
      <c r="C28" s="1">
        <v>20</v>
      </c>
      <c r="D28" s="1"/>
      <c r="E28" s="1">
        <f t="shared" si="1"/>
        <v>0</v>
      </c>
    </row>
    <row r="29" spans="1:5" ht="20" customHeight="1">
      <c r="A29" s="1">
        <v>10</v>
      </c>
      <c r="B29" s="1"/>
      <c r="C29" s="1">
        <v>20</v>
      </c>
      <c r="D29" s="1"/>
      <c r="E29" s="1">
        <f t="shared" si="1"/>
        <v>0</v>
      </c>
    </row>
    <row r="30" spans="1:5" ht="20" customHeight="1">
      <c r="A30" s="1">
        <v>11</v>
      </c>
      <c r="B30" s="1"/>
      <c r="C30" s="1">
        <v>20</v>
      </c>
      <c r="D30" s="1"/>
      <c r="E30" s="1">
        <f t="shared" si="1"/>
        <v>0</v>
      </c>
    </row>
    <row r="31" spans="1:5" ht="20" customHeight="1">
      <c r="A31" s="1">
        <v>12</v>
      </c>
      <c r="B31" s="1"/>
      <c r="C31" s="1">
        <v>20</v>
      </c>
      <c r="D31" s="1"/>
      <c r="E31" s="1">
        <f t="shared" si="1"/>
        <v>0</v>
      </c>
    </row>
    <row r="35" spans="1:5" ht="40" customHeight="1">
      <c r="A35" s="45" t="s">
        <v>94</v>
      </c>
      <c r="B35" s="45"/>
      <c r="C35" s="45"/>
      <c r="D35" s="45"/>
      <c r="E35" s="45"/>
    </row>
    <row r="36" spans="1:5" ht="20" customHeight="1">
      <c r="A36" s="1" t="s">
        <v>64</v>
      </c>
      <c r="B36" s="1" t="s">
        <v>65</v>
      </c>
      <c r="C36" s="1" t="s">
        <v>66</v>
      </c>
      <c r="D36" s="1" t="s">
        <v>67</v>
      </c>
      <c r="E36" s="1" t="s">
        <v>68</v>
      </c>
    </row>
    <row r="37" spans="1:5" ht="20" customHeight="1">
      <c r="A37" s="1">
        <v>1</v>
      </c>
      <c r="B37" s="1"/>
      <c r="C37" s="1">
        <v>20</v>
      </c>
      <c r="D37" s="1"/>
      <c r="E37" s="1">
        <f t="shared" ref="E37:E48" si="2">(D37-B37)*C37</f>
        <v>0</v>
      </c>
    </row>
    <row r="38" spans="1:5" ht="20" customHeight="1">
      <c r="A38" s="1">
        <v>2</v>
      </c>
      <c r="B38" s="1"/>
      <c r="C38" s="1">
        <v>20</v>
      </c>
      <c r="D38" s="1"/>
      <c r="E38" s="1">
        <f t="shared" si="2"/>
        <v>0</v>
      </c>
    </row>
    <row r="39" spans="1:5" ht="20" customHeight="1">
      <c r="A39" s="1">
        <v>3</v>
      </c>
      <c r="B39" s="1"/>
      <c r="C39" s="1">
        <v>20</v>
      </c>
      <c r="D39" s="1"/>
      <c r="E39" s="1">
        <f t="shared" si="2"/>
        <v>0</v>
      </c>
    </row>
    <row r="40" spans="1:5" ht="20" customHeight="1">
      <c r="A40" s="1">
        <v>4</v>
      </c>
      <c r="B40" s="1"/>
      <c r="C40" s="1">
        <v>20</v>
      </c>
      <c r="D40" s="4"/>
      <c r="E40" s="1">
        <f t="shared" si="2"/>
        <v>0</v>
      </c>
    </row>
    <row r="41" spans="1:5" ht="20" customHeight="1">
      <c r="A41" s="1">
        <v>5</v>
      </c>
      <c r="B41" s="1">
        <v>11269.96</v>
      </c>
      <c r="C41" s="1">
        <v>20</v>
      </c>
      <c r="D41" s="1">
        <v>11305.7</v>
      </c>
      <c r="E41" s="1">
        <f t="shared" si="2"/>
        <v>714.80000000003201</v>
      </c>
    </row>
    <row r="42" spans="1:5" ht="20" customHeight="1">
      <c r="A42" s="1">
        <v>6</v>
      </c>
      <c r="B42" s="1">
        <v>11305.7</v>
      </c>
      <c r="C42" s="1">
        <v>20</v>
      </c>
      <c r="D42" s="1">
        <v>11449.67</v>
      </c>
      <c r="E42" s="1">
        <f t="shared" si="2"/>
        <v>2879.3999999999901</v>
      </c>
    </row>
    <row r="43" spans="1:5" ht="20" customHeight="1">
      <c r="A43" s="1">
        <v>7</v>
      </c>
      <c r="B43" s="1">
        <v>11449.67</v>
      </c>
      <c r="C43" s="1">
        <v>20</v>
      </c>
      <c r="D43" s="1">
        <v>11731.81</v>
      </c>
      <c r="E43" s="1">
        <f t="shared" si="2"/>
        <v>5642.7999999999902</v>
      </c>
    </row>
    <row r="44" spans="1:5" ht="20" customHeight="1">
      <c r="A44" s="1">
        <v>8</v>
      </c>
      <c r="B44" s="1">
        <v>11731.81</v>
      </c>
      <c r="C44" s="1">
        <v>20</v>
      </c>
      <c r="D44" s="1">
        <v>11936.81</v>
      </c>
      <c r="E44" s="1">
        <f t="shared" si="2"/>
        <v>4100</v>
      </c>
    </row>
    <row r="45" spans="1:5" ht="20" customHeight="1">
      <c r="A45" s="1">
        <v>9</v>
      </c>
      <c r="B45" s="1"/>
      <c r="C45" s="1">
        <v>20</v>
      </c>
      <c r="D45" s="1"/>
      <c r="E45" s="1">
        <f t="shared" si="2"/>
        <v>0</v>
      </c>
    </row>
    <row r="46" spans="1:5" ht="20" customHeight="1">
      <c r="A46" s="1">
        <v>10</v>
      </c>
      <c r="B46" s="1"/>
      <c r="C46" s="1">
        <v>20</v>
      </c>
      <c r="D46" s="1"/>
      <c r="E46" s="1">
        <f t="shared" si="2"/>
        <v>0</v>
      </c>
    </row>
    <row r="47" spans="1:5" ht="20" customHeight="1">
      <c r="A47" s="1">
        <v>11</v>
      </c>
      <c r="B47" s="1"/>
      <c r="C47" s="1">
        <v>20</v>
      </c>
      <c r="D47" s="1"/>
      <c r="E47" s="1">
        <f t="shared" si="2"/>
        <v>0</v>
      </c>
    </row>
    <row r="48" spans="1:5" ht="20" customHeight="1">
      <c r="A48" s="1">
        <v>12</v>
      </c>
      <c r="B48" s="1"/>
      <c r="C48" s="1">
        <v>20</v>
      </c>
      <c r="D48" s="1"/>
      <c r="E48" s="1">
        <f t="shared" si="2"/>
        <v>0</v>
      </c>
    </row>
    <row r="52" spans="1:5" ht="40" customHeight="1">
      <c r="A52" s="46" t="s">
        <v>95</v>
      </c>
      <c r="B52" s="46"/>
      <c r="C52" s="46"/>
      <c r="D52" s="46"/>
      <c r="E52" s="46"/>
    </row>
    <row r="53" spans="1:5" ht="20" customHeight="1">
      <c r="A53" s="1" t="s">
        <v>64</v>
      </c>
      <c r="B53" s="1" t="s">
        <v>65</v>
      </c>
      <c r="C53" s="1" t="s">
        <v>66</v>
      </c>
      <c r="D53" s="1" t="s">
        <v>67</v>
      </c>
      <c r="E53" s="1" t="s">
        <v>68</v>
      </c>
    </row>
    <row r="54" spans="1:5" ht="20" customHeight="1">
      <c r="A54" s="1">
        <v>1</v>
      </c>
      <c r="B54" s="1"/>
      <c r="C54" s="1">
        <v>20</v>
      </c>
      <c r="D54" s="1"/>
      <c r="E54" s="1">
        <f t="shared" ref="E54:E65" si="3">(D54-B54)*C54</f>
        <v>0</v>
      </c>
    </row>
    <row r="55" spans="1:5" ht="20" customHeight="1">
      <c r="A55" s="1">
        <v>2</v>
      </c>
      <c r="B55" s="1"/>
      <c r="C55" s="1">
        <v>20</v>
      </c>
      <c r="D55" s="1"/>
      <c r="E55" s="1">
        <f t="shared" si="3"/>
        <v>0</v>
      </c>
    </row>
    <row r="56" spans="1:5" ht="20" customHeight="1">
      <c r="A56" s="1">
        <v>3</v>
      </c>
      <c r="B56" s="1"/>
      <c r="C56" s="1">
        <v>20</v>
      </c>
      <c r="D56" s="1"/>
      <c r="E56" s="1">
        <f t="shared" si="3"/>
        <v>0</v>
      </c>
    </row>
    <row r="57" spans="1:5" ht="20" customHeight="1">
      <c r="A57" s="1">
        <v>4</v>
      </c>
      <c r="B57" s="1"/>
      <c r="C57" s="1">
        <v>20</v>
      </c>
      <c r="D57" s="4"/>
      <c r="E57" s="1">
        <f t="shared" si="3"/>
        <v>0</v>
      </c>
    </row>
    <row r="58" spans="1:5" ht="20" customHeight="1">
      <c r="A58" s="1">
        <v>5</v>
      </c>
      <c r="B58" s="1">
        <v>5640.39</v>
      </c>
      <c r="C58" s="1">
        <v>20</v>
      </c>
      <c r="D58" s="1">
        <v>5653.18</v>
      </c>
      <c r="E58" s="1">
        <f t="shared" si="3"/>
        <v>255.79999999999899</v>
      </c>
    </row>
    <row r="59" spans="1:5" ht="20" customHeight="1">
      <c r="A59" s="1">
        <v>6</v>
      </c>
      <c r="B59" s="1">
        <v>5653.18</v>
      </c>
      <c r="C59" s="1">
        <v>20</v>
      </c>
      <c r="D59" s="1">
        <v>5654.06</v>
      </c>
      <c r="E59" s="1">
        <f t="shared" si="3"/>
        <v>17.600000000002201</v>
      </c>
    </row>
    <row r="60" spans="1:5" ht="20" customHeight="1">
      <c r="A60" s="1">
        <v>7</v>
      </c>
      <c r="B60" s="1">
        <v>5654.06</v>
      </c>
      <c r="C60" s="1">
        <v>20</v>
      </c>
      <c r="D60" s="1">
        <v>5683.15</v>
      </c>
      <c r="E60" s="1">
        <f t="shared" si="3"/>
        <v>581.79999999998495</v>
      </c>
    </row>
    <row r="61" spans="1:5" ht="20" customHeight="1">
      <c r="A61" s="1">
        <v>8</v>
      </c>
      <c r="B61" s="1">
        <v>5683.15</v>
      </c>
      <c r="C61" s="1">
        <v>20</v>
      </c>
      <c r="D61" s="1">
        <v>5810.82</v>
      </c>
      <c r="E61" s="1">
        <f t="shared" si="3"/>
        <v>2553.4</v>
      </c>
    </row>
    <row r="62" spans="1:5" ht="20" customHeight="1">
      <c r="A62" s="1">
        <v>9</v>
      </c>
      <c r="B62" s="1"/>
      <c r="C62" s="1">
        <v>20</v>
      </c>
      <c r="D62" s="1"/>
      <c r="E62" s="1">
        <f t="shared" si="3"/>
        <v>0</v>
      </c>
    </row>
    <row r="63" spans="1:5" ht="20" customHeight="1">
      <c r="A63" s="1">
        <v>10</v>
      </c>
      <c r="B63" s="1"/>
      <c r="C63" s="1">
        <v>20</v>
      </c>
      <c r="D63" s="1"/>
      <c r="E63" s="1">
        <f t="shared" si="3"/>
        <v>0</v>
      </c>
    </row>
    <row r="64" spans="1:5" ht="20" customHeight="1">
      <c r="A64" s="1">
        <v>11</v>
      </c>
      <c r="B64" s="1"/>
      <c r="C64" s="1">
        <v>20</v>
      </c>
      <c r="D64" s="1"/>
      <c r="E64" s="1">
        <f t="shared" si="3"/>
        <v>0</v>
      </c>
    </row>
    <row r="65" spans="1:5" ht="20" customHeight="1">
      <c r="A65" s="1">
        <v>12</v>
      </c>
      <c r="B65" s="1"/>
      <c r="C65" s="1">
        <v>20</v>
      </c>
      <c r="D65" s="1"/>
      <c r="E65" s="1">
        <f t="shared" si="3"/>
        <v>0</v>
      </c>
    </row>
    <row r="69" spans="1:5" ht="19">
      <c r="A69" s="46" t="s">
        <v>96</v>
      </c>
      <c r="B69" s="46"/>
      <c r="C69" s="46"/>
      <c r="D69" s="46"/>
      <c r="E69" s="46"/>
    </row>
    <row r="70" spans="1:5" ht="15">
      <c r="A70" s="1" t="s">
        <v>64</v>
      </c>
      <c r="B70" s="1" t="s">
        <v>65</v>
      </c>
      <c r="C70" s="1" t="s">
        <v>66</v>
      </c>
      <c r="D70" s="1" t="s">
        <v>67</v>
      </c>
      <c r="E70" s="1" t="s">
        <v>68</v>
      </c>
    </row>
    <row r="71" spans="1:5" ht="15">
      <c r="A71" s="1">
        <v>1</v>
      </c>
      <c r="B71" s="1"/>
      <c r="C71" s="1">
        <v>20</v>
      </c>
      <c r="D71" s="1"/>
      <c r="E71" s="1">
        <f t="shared" ref="E71:E82" si="4">(D71-B71)*C71</f>
        <v>0</v>
      </c>
    </row>
    <row r="72" spans="1:5" ht="15">
      <c r="A72" s="1">
        <v>2</v>
      </c>
      <c r="B72" s="1"/>
      <c r="C72" s="1">
        <v>20</v>
      </c>
      <c r="D72" s="1"/>
      <c r="E72" s="1">
        <f t="shared" si="4"/>
        <v>0</v>
      </c>
    </row>
    <row r="73" spans="1:5" ht="15">
      <c r="A73" s="1">
        <v>3</v>
      </c>
      <c r="B73" s="1"/>
      <c r="C73" s="1">
        <v>20</v>
      </c>
      <c r="D73" s="1"/>
      <c r="E73" s="1">
        <f t="shared" si="4"/>
        <v>0</v>
      </c>
    </row>
    <row r="74" spans="1:5" ht="15">
      <c r="A74" s="1">
        <v>4</v>
      </c>
      <c r="B74" s="1"/>
      <c r="C74" s="1">
        <v>20</v>
      </c>
      <c r="D74" s="4"/>
      <c r="E74" s="1">
        <f t="shared" si="4"/>
        <v>0</v>
      </c>
    </row>
    <row r="75" spans="1:5" ht="15">
      <c r="A75" s="1">
        <v>5</v>
      </c>
      <c r="B75" s="1">
        <v>4161.01</v>
      </c>
      <c r="C75" s="1">
        <v>20</v>
      </c>
      <c r="D75" s="1">
        <v>4184.04</v>
      </c>
      <c r="E75" s="1">
        <f t="shared" si="4"/>
        <v>460.59999999999502</v>
      </c>
    </row>
    <row r="76" spans="1:5" ht="15">
      <c r="A76" s="1">
        <v>6</v>
      </c>
      <c r="B76" s="1">
        <v>4184.04</v>
      </c>
      <c r="C76" s="1">
        <v>20</v>
      </c>
      <c r="D76" s="1">
        <v>4185.1099999999997</v>
      </c>
      <c r="E76" s="1">
        <f t="shared" si="4"/>
        <v>21.399999999994201</v>
      </c>
    </row>
    <row r="77" spans="1:5" ht="15">
      <c r="A77" s="1">
        <v>7</v>
      </c>
      <c r="B77" s="1">
        <v>4185.1099999999997</v>
      </c>
      <c r="C77" s="1">
        <v>20</v>
      </c>
      <c r="D77" s="1">
        <v>4186.6000000000004</v>
      </c>
      <c r="E77" s="1">
        <f t="shared" si="4"/>
        <v>29.800000000013799</v>
      </c>
    </row>
    <row r="78" spans="1:5" ht="15">
      <c r="A78" s="1">
        <v>8</v>
      </c>
      <c r="B78" s="1">
        <v>4186.6000000000004</v>
      </c>
      <c r="C78" s="1">
        <v>20</v>
      </c>
      <c r="D78" s="1">
        <v>4192.3599999999997</v>
      </c>
      <c r="E78" s="1">
        <f t="shared" si="4"/>
        <v>115.19999999998601</v>
      </c>
    </row>
    <row r="79" spans="1:5" ht="15">
      <c r="A79" s="1">
        <v>9</v>
      </c>
      <c r="B79" s="1"/>
      <c r="C79" s="1">
        <v>20</v>
      </c>
      <c r="D79" s="1"/>
      <c r="E79" s="1">
        <f t="shared" si="4"/>
        <v>0</v>
      </c>
    </row>
    <row r="80" spans="1:5" ht="15">
      <c r="A80" s="1">
        <v>10</v>
      </c>
      <c r="B80" s="1"/>
      <c r="C80" s="1">
        <v>20</v>
      </c>
      <c r="D80" s="1"/>
      <c r="E80" s="1">
        <f t="shared" si="4"/>
        <v>0</v>
      </c>
    </row>
    <row r="81" spans="1:5" ht="15">
      <c r="A81" s="1">
        <v>11</v>
      </c>
      <c r="B81" s="1"/>
      <c r="C81" s="1">
        <v>20</v>
      </c>
      <c r="D81" s="1"/>
      <c r="E81" s="1">
        <f t="shared" si="4"/>
        <v>0</v>
      </c>
    </row>
    <row r="82" spans="1:5" ht="15">
      <c r="A82" s="1">
        <v>12</v>
      </c>
      <c r="B82" s="1"/>
      <c r="C82" s="1">
        <v>20</v>
      </c>
      <c r="D82" s="1"/>
      <c r="E82" s="1">
        <f t="shared" si="4"/>
        <v>0</v>
      </c>
    </row>
    <row r="86" spans="1:5" ht="19">
      <c r="A86" s="46" t="s">
        <v>97</v>
      </c>
      <c r="B86" s="46"/>
      <c r="C86" s="46"/>
      <c r="D86" s="46"/>
      <c r="E86" s="46"/>
    </row>
    <row r="87" spans="1:5" ht="15">
      <c r="A87" s="1" t="s">
        <v>64</v>
      </c>
      <c r="B87" s="1" t="s">
        <v>65</v>
      </c>
      <c r="C87" s="1" t="s">
        <v>66</v>
      </c>
      <c r="D87" s="1" t="s">
        <v>67</v>
      </c>
      <c r="E87" s="1" t="s">
        <v>68</v>
      </c>
    </row>
    <row r="88" spans="1:5" ht="15">
      <c r="A88" s="1">
        <v>1</v>
      </c>
      <c r="B88" s="1"/>
      <c r="C88" s="1">
        <v>20</v>
      </c>
      <c r="D88" s="1"/>
      <c r="E88" s="1">
        <f t="shared" ref="E88:E99" si="5">(D88-B88)*C88</f>
        <v>0</v>
      </c>
    </row>
    <row r="89" spans="1:5" ht="15">
      <c r="A89" s="1">
        <v>2</v>
      </c>
      <c r="B89" s="1"/>
      <c r="C89" s="1">
        <v>20</v>
      </c>
      <c r="D89" s="1"/>
      <c r="E89" s="1">
        <f t="shared" si="5"/>
        <v>0</v>
      </c>
    </row>
    <row r="90" spans="1:5" ht="15">
      <c r="A90" s="1">
        <v>3</v>
      </c>
      <c r="B90" s="1"/>
      <c r="C90" s="1">
        <v>20</v>
      </c>
      <c r="D90" s="1"/>
      <c r="E90" s="1">
        <f t="shared" si="5"/>
        <v>0</v>
      </c>
    </row>
    <row r="91" spans="1:5" ht="15">
      <c r="A91" s="1">
        <v>4</v>
      </c>
      <c r="B91" s="1"/>
      <c r="C91" s="1">
        <v>20</v>
      </c>
      <c r="D91" s="4"/>
      <c r="E91" s="1">
        <f t="shared" si="5"/>
        <v>0</v>
      </c>
    </row>
    <row r="92" spans="1:5" ht="15">
      <c r="A92" s="1">
        <v>5</v>
      </c>
      <c r="B92" s="1">
        <v>3176.38</v>
      </c>
      <c r="C92" s="1">
        <v>20</v>
      </c>
      <c r="D92" s="1">
        <v>3203.23</v>
      </c>
      <c r="E92" s="1">
        <f t="shared" si="5"/>
        <v>536.99999999999795</v>
      </c>
    </row>
    <row r="93" spans="1:5" ht="15">
      <c r="A93" s="1">
        <v>6</v>
      </c>
      <c r="B93" s="1">
        <v>3203.23</v>
      </c>
      <c r="C93" s="1">
        <v>20</v>
      </c>
      <c r="D93" s="1">
        <v>3204.35</v>
      </c>
      <c r="E93" s="1">
        <f t="shared" si="5"/>
        <v>22.399999999997799</v>
      </c>
    </row>
    <row r="94" spans="1:5" ht="15">
      <c r="A94" s="1">
        <v>7</v>
      </c>
      <c r="B94" s="1">
        <v>3204.35</v>
      </c>
      <c r="C94" s="1">
        <v>20</v>
      </c>
      <c r="D94" s="1">
        <v>3212.01</v>
      </c>
      <c r="E94" s="1">
        <f t="shared" si="5"/>
        <v>153.20000000000601</v>
      </c>
    </row>
    <row r="95" spans="1:5" ht="15">
      <c r="A95" s="1">
        <v>8</v>
      </c>
      <c r="B95" s="1">
        <v>3212.01</v>
      </c>
      <c r="C95" s="1">
        <v>20</v>
      </c>
      <c r="D95" s="1">
        <v>3212.01</v>
      </c>
      <c r="E95" s="1">
        <f t="shared" si="5"/>
        <v>0</v>
      </c>
    </row>
    <row r="96" spans="1:5" ht="15">
      <c r="A96" s="1">
        <v>9</v>
      </c>
      <c r="B96" s="1"/>
      <c r="C96" s="1">
        <v>20</v>
      </c>
      <c r="D96" s="1"/>
      <c r="E96" s="1">
        <f t="shared" si="5"/>
        <v>0</v>
      </c>
    </row>
    <row r="97" spans="1:5" ht="15">
      <c r="A97" s="1">
        <v>10</v>
      </c>
      <c r="B97" s="1"/>
      <c r="C97" s="1">
        <v>20</v>
      </c>
      <c r="D97" s="1"/>
      <c r="E97" s="1">
        <f t="shared" si="5"/>
        <v>0</v>
      </c>
    </row>
    <row r="98" spans="1:5" ht="15">
      <c r="A98" s="1">
        <v>11</v>
      </c>
      <c r="B98" s="1"/>
      <c r="C98" s="1">
        <v>20</v>
      </c>
      <c r="D98" s="1"/>
      <c r="E98" s="1">
        <f t="shared" si="5"/>
        <v>0</v>
      </c>
    </row>
    <row r="99" spans="1:5" ht="15">
      <c r="A99" s="1">
        <v>12</v>
      </c>
      <c r="B99" s="1"/>
      <c r="C99" s="1">
        <v>20</v>
      </c>
      <c r="D99" s="1"/>
      <c r="E99" s="1">
        <f t="shared" si="5"/>
        <v>0</v>
      </c>
    </row>
    <row r="103" spans="1:5" ht="19">
      <c r="A103" s="46" t="s">
        <v>98</v>
      </c>
      <c r="B103" s="46"/>
      <c r="C103" s="46"/>
      <c r="D103" s="46"/>
      <c r="E103" s="46"/>
    </row>
    <row r="104" spans="1:5" ht="15">
      <c r="A104" s="1" t="s">
        <v>64</v>
      </c>
      <c r="B104" s="1" t="s">
        <v>65</v>
      </c>
      <c r="C104" s="1" t="s">
        <v>66</v>
      </c>
      <c r="D104" s="1" t="s">
        <v>67</v>
      </c>
      <c r="E104" s="1" t="s">
        <v>68</v>
      </c>
    </row>
    <row r="105" spans="1:5" ht="15">
      <c r="A105" s="1">
        <v>1</v>
      </c>
      <c r="B105" s="1"/>
      <c r="C105" s="1">
        <v>20</v>
      </c>
      <c r="D105" s="1"/>
      <c r="E105" s="1">
        <f t="shared" ref="E105:E116" si="6">(D105-B105)*C105</f>
        <v>0</v>
      </c>
    </row>
    <row r="106" spans="1:5" ht="15">
      <c r="A106" s="1">
        <v>2</v>
      </c>
      <c r="B106" s="1"/>
      <c r="C106" s="1">
        <v>20</v>
      </c>
      <c r="D106" s="1"/>
      <c r="E106" s="1">
        <f t="shared" si="6"/>
        <v>0</v>
      </c>
    </row>
    <row r="107" spans="1:5" ht="15">
      <c r="A107" s="1">
        <v>3</v>
      </c>
      <c r="B107" s="1"/>
      <c r="C107" s="1">
        <v>20</v>
      </c>
      <c r="D107" s="1"/>
      <c r="E107" s="1">
        <f t="shared" si="6"/>
        <v>0</v>
      </c>
    </row>
    <row r="108" spans="1:5" ht="15">
      <c r="A108" s="1">
        <v>4</v>
      </c>
      <c r="B108" s="1"/>
      <c r="C108" s="1">
        <v>20</v>
      </c>
      <c r="D108" s="4"/>
      <c r="E108" s="1">
        <f t="shared" si="6"/>
        <v>0</v>
      </c>
    </row>
    <row r="109" spans="1:5" ht="15">
      <c r="A109" s="1">
        <v>5</v>
      </c>
      <c r="B109" s="1">
        <v>4391.67</v>
      </c>
      <c r="C109" s="1">
        <v>20</v>
      </c>
      <c r="D109" s="1">
        <v>4416.8900000000003</v>
      </c>
      <c r="E109" s="1">
        <f t="shared" si="6"/>
        <v>504.40000000000498</v>
      </c>
    </row>
    <row r="110" spans="1:5" ht="15">
      <c r="A110" s="1">
        <v>6</v>
      </c>
      <c r="B110" s="1">
        <v>4416.8900000000003</v>
      </c>
      <c r="C110" s="1">
        <v>20</v>
      </c>
      <c r="D110" s="1">
        <v>4417.87</v>
      </c>
      <c r="E110" s="1">
        <f t="shared" si="6"/>
        <v>19.599999999991301</v>
      </c>
    </row>
    <row r="111" spans="1:5" ht="15">
      <c r="A111" s="1">
        <v>7</v>
      </c>
      <c r="B111" s="1">
        <v>4417.87</v>
      </c>
      <c r="C111" s="1">
        <v>20</v>
      </c>
      <c r="D111" s="1">
        <v>4420.75</v>
      </c>
      <c r="E111" s="1">
        <f t="shared" si="6"/>
        <v>57.600000000002197</v>
      </c>
    </row>
    <row r="112" spans="1:5" ht="15">
      <c r="A112" s="1">
        <v>8</v>
      </c>
      <c r="B112" s="1">
        <v>4420.75</v>
      </c>
      <c r="C112" s="1">
        <v>20</v>
      </c>
      <c r="D112" s="1">
        <v>4456.0200000000004</v>
      </c>
      <c r="E112" s="1">
        <f t="shared" si="6"/>
        <v>705.40000000000896</v>
      </c>
    </row>
    <row r="113" spans="1:5" ht="15">
      <c r="A113" s="1">
        <v>9</v>
      </c>
      <c r="B113" s="1"/>
      <c r="C113" s="1">
        <v>20</v>
      </c>
      <c r="D113" s="1"/>
      <c r="E113" s="1">
        <f t="shared" si="6"/>
        <v>0</v>
      </c>
    </row>
    <row r="114" spans="1:5" ht="15">
      <c r="A114" s="1">
        <v>10</v>
      </c>
      <c r="B114" s="1"/>
      <c r="C114" s="1">
        <v>20</v>
      </c>
      <c r="D114" s="1"/>
      <c r="E114" s="1">
        <f t="shared" si="6"/>
        <v>0</v>
      </c>
    </row>
    <row r="115" spans="1:5" ht="15">
      <c r="A115" s="1">
        <v>11</v>
      </c>
      <c r="B115" s="1"/>
      <c r="C115" s="1">
        <v>20</v>
      </c>
      <c r="D115" s="1"/>
      <c r="E115" s="1">
        <f t="shared" si="6"/>
        <v>0</v>
      </c>
    </row>
    <row r="116" spans="1:5" ht="15">
      <c r="A116" s="1">
        <v>12</v>
      </c>
      <c r="B116" s="1"/>
      <c r="C116" s="1">
        <v>20</v>
      </c>
      <c r="D116" s="1"/>
      <c r="E116" s="1">
        <f t="shared" si="6"/>
        <v>0</v>
      </c>
    </row>
    <row r="120" spans="1:5" ht="19">
      <c r="A120" s="46" t="s">
        <v>99</v>
      </c>
      <c r="B120" s="46"/>
      <c r="C120" s="46"/>
      <c r="D120" s="46"/>
      <c r="E120" s="46"/>
    </row>
    <row r="121" spans="1:5" ht="15">
      <c r="A121" s="1" t="s">
        <v>64</v>
      </c>
      <c r="B121" s="1" t="s">
        <v>65</v>
      </c>
      <c r="C121" s="1" t="s">
        <v>66</v>
      </c>
      <c r="D121" s="1" t="s">
        <v>67</v>
      </c>
      <c r="E121" s="1" t="s">
        <v>68</v>
      </c>
    </row>
    <row r="122" spans="1:5" ht="15">
      <c r="A122" s="1">
        <v>1</v>
      </c>
      <c r="B122" s="1"/>
      <c r="C122" s="1">
        <v>20</v>
      </c>
      <c r="D122" s="1"/>
      <c r="E122" s="1">
        <f t="shared" ref="E122:E133" si="7">(D122-B122)*C122</f>
        <v>0</v>
      </c>
    </row>
    <row r="123" spans="1:5" ht="15">
      <c r="A123" s="1">
        <v>2</v>
      </c>
      <c r="B123" s="1"/>
      <c r="C123" s="1">
        <v>20</v>
      </c>
      <c r="D123" s="1"/>
      <c r="E123" s="1">
        <f t="shared" si="7"/>
        <v>0</v>
      </c>
    </row>
    <row r="124" spans="1:5" ht="15">
      <c r="A124" s="1">
        <v>3</v>
      </c>
      <c r="B124" s="1"/>
      <c r="C124" s="1">
        <v>20</v>
      </c>
      <c r="D124" s="1"/>
      <c r="E124" s="1">
        <f t="shared" si="7"/>
        <v>0</v>
      </c>
    </row>
    <row r="125" spans="1:5" ht="15">
      <c r="A125" s="1">
        <v>4</v>
      </c>
      <c r="B125" s="1"/>
      <c r="C125" s="1">
        <v>20</v>
      </c>
      <c r="D125" s="4"/>
      <c r="E125" s="1">
        <f t="shared" si="7"/>
        <v>0</v>
      </c>
    </row>
    <row r="126" spans="1:5" ht="15">
      <c r="A126" s="1">
        <v>5</v>
      </c>
      <c r="B126" s="1">
        <v>4410.51</v>
      </c>
      <c r="C126" s="1">
        <v>20</v>
      </c>
      <c r="D126" s="1">
        <v>4435.29</v>
      </c>
      <c r="E126" s="1">
        <f t="shared" si="7"/>
        <v>495.59999999999502</v>
      </c>
    </row>
    <row r="127" spans="1:5" ht="15">
      <c r="A127" s="1">
        <v>6</v>
      </c>
      <c r="B127" s="1">
        <v>4435.29</v>
      </c>
      <c r="C127" s="1">
        <v>20</v>
      </c>
      <c r="D127" s="1">
        <v>4437.08</v>
      </c>
      <c r="E127" s="1">
        <f t="shared" si="7"/>
        <v>35.799999999999301</v>
      </c>
    </row>
    <row r="128" spans="1:5" ht="15">
      <c r="A128" s="1">
        <v>7</v>
      </c>
      <c r="B128" s="1">
        <v>4437.08</v>
      </c>
      <c r="C128" s="1">
        <v>20</v>
      </c>
      <c r="D128" s="1">
        <v>4451.33</v>
      </c>
      <c r="E128" s="1">
        <f t="shared" si="7"/>
        <v>285</v>
      </c>
    </row>
    <row r="129" spans="1:5" ht="15">
      <c r="A129" s="1">
        <v>8</v>
      </c>
      <c r="B129" s="1">
        <v>4451.33</v>
      </c>
      <c r="C129" s="1">
        <v>20</v>
      </c>
      <c r="D129" s="1">
        <v>4527.53</v>
      </c>
      <c r="E129" s="1">
        <f t="shared" si="7"/>
        <v>1524</v>
      </c>
    </row>
    <row r="130" spans="1:5" ht="15">
      <c r="A130" s="1">
        <v>9</v>
      </c>
      <c r="B130" s="1"/>
      <c r="C130" s="1">
        <v>20</v>
      </c>
      <c r="D130" s="1"/>
      <c r="E130" s="1">
        <f t="shared" si="7"/>
        <v>0</v>
      </c>
    </row>
    <row r="131" spans="1:5" ht="15">
      <c r="A131" s="1">
        <v>10</v>
      </c>
      <c r="B131" s="1"/>
      <c r="C131" s="1">
        <v>20</v>
      </c>
      <c r="D131" s="1"/>
      <c r="E131" s="1">
        <f t="shared" si="7"/>
        <v>0</v>
      </c>
    </row>
    <row r="132" spans="1:5" ht="15">
      <c r="A132" s="1">
        <v>11</v>
      </c>
      <c r="B132" s="1"/>
      <c r="C132" s="1">
        <v>20</v>
      </c>
      <c r="D132" s="1"/>
      <c r="E132" s="1">
        <f t="shared" si="7"/>
        <v>0</v>
      </c>
    </row>
    <row r="133" spans="1:5" ht="15">
      <c r="A133" s="1">
        <v>12</v>
      </c>
      <c r="B133" s="1"/>
      <c r="C133" s="1">
        <v>20</v>
      </c>
      <c r="D133" s="1"/>
      <c r="E133" s="1">
        <f t="shared" si="7"/>
        <v>0</v>
      </c>
    </row>
    <row r="137" spans="1:5" ht="19">
      <c r="A137" s="46" t="s">
        <v>100</v>
      </c>
      <c r="B137" s="46"/>
      <c r="C137" s="46"/>
      <c r="D137" s="46"/>
      <c r="E137" s="46"/>
    </row>
    <row r="138" spans="1:5" ht="15">
      <c r="A138" s="1" t="s">
        <v>64</v>
      </c>
      <c r="B138" s="1" t="s">
        <v>65</v>
      </c>
      <c r="C138" s="1" t="s">
        <v>66</v>
      </c>
      <c r="D138" s="1" t="s">
        <v>67</v>
      </c>
      <c r="E138" s="1" t="s">
        <v>68</v>
      </c>
    </row>
    <row r="139" spans="1:5" ht="15">
      <c r="A139" s="1">
        <v>1</v>
      </c>
      <c r="B139" s="1"/>
      <c r="C139" s="1">
        <v>20</v>
      </c>
      <c r="D139" s="1"/>
      <c r="E139" s="1">
        <f t="shared" ref="E139:E150" si="8">(D139-B139)*C139</f>
        <v>0</v>
      </c>
    </row>
    <row r="140" spans="1:5" ht="15">
      <c r="A140" s="1">
        <v>2</v>
      </c>
      <c r="B140" s="1"/>
      <c r="C140" s="1">
        <v>20</v>
      </c>
      <c r="D140" s="1"/>
      <c r="E140" s="1">
        <f t="shared" si="8"/>
        <v>0</v>
      </c>
    </row>
    <row r="141" spans="1:5" ht="15">
      <c r="A141" s="1">
        <v>3</v>
      </c>
      <c r="B141" s="1"/>
      <c r="C141" s="1">
        <v>20</v>
      </c>
      <c r="D141" s="1"/>
      <c r="E141" s="1">
        <f t="shared" si="8"/>
        <v>0</v>
      </c>
    </row>
    <row r="142" spans="1:5" ht="15">
      <c r="A142" s="1">
        <v>4</v>
      </c>
      <c r="B142" s="1"/>
      <c r="C142" s="1">
        <v>20</v>
      </c>
      <c r="D142" s="4"/>
      <c r="E142" s="1">
        <f t="shared" si="8"/>
        <v>0</v>
      </c>
    </row>
    <row r="143" spans="1:5" ht="15">
      <c r="A143" s="1">
        <v>5</v>
      </c>
      <c r="B143" s="1">
        <v>4056.01</v>
      </c>
      <c r="C143" s="1">
        <v>20</v>
      </c>
      <c r="D143" s="1">
        <v>4075.78</v>
      </c>
      <c r="E143" s="1">
        <f t="shared" si="8"/>
        <v>395.4</v>
      </c>
    </row>
    <row r="144" spans="1:5" ht="15">
      <c r="A144" s="1">
        <v>6</v>
      </c>
      <c r="B144" s="1">
        <v>4075.78</v>
      </c>
      <c r="C144" s="1">
        <v>20</v>
      </c>
      <c r="D144" s="1">
        <v>4077.09</v>
      </c>
      <c r="E144" s="1">
        <f t="shared" si="8"/>
        <v>26.199999999998902</v>
      </c>
    </row>
    <row r="145" spans="1:5" ht="15">
      <c r="A145" s="1">
        <v>7</v>
      </c>
      <c r="B145" s="1">
        <v>4077.09</v>
      </c>
      <c r="C145" s="1">
        <v>20</v>
      </c>
      <c r="D145" s="1">
        <v>4109.82</v>
      </c>
      <c r="E145" s="1">
        <f t="shared" si="8"/>
        <v>654.59999999999104</v>
      </c>
    </row>
    <row r="146" spans="1:5" ht="15">
      <c r="A146" s="1">
        <v>8</v>
      </c>
      <c r="B146" s="1">
        <v>4109.82</v>
      </c>
      <c r="C146" s="1">
        <v>20</v>
      </c>
      <c r="D146" s="1">
        <v>4110.5200000000004</v>
      </c>
      <c r="E146" s="1">
        <f t="shared" si="8"/>
        <v>14.0000000000146</v>
      </c>
    </row>
    <row r="147" spans="1:5" ht="15">
      <c r="A147" s="1">
        <v>9</v>
      </c>
      <c r="B147" s="1"/>
      <c r="C147" s="1">
        <v>20</v>
      </c>
      <c r="D147" s="1"/>
      <c r="E147" s="1">
        <f t="shared" si="8"/>
        <v>0</v>
      </c>
    </row>
    <row r="148" spans="1:5" ht="15">
      <c r="A148" s="1">
        <v>10</v>
      </c>
      <c r="B148" s="1"/>
      <c r="C148" s="1">
        <v>20</v>
      </c>
      <c r="D148" s="1"/>
      <c r="E148" s="1">
        <f t="shared" si="8"/>
        <v>0</v>
      </c>
    </row>
    <row r="149" spans="1:5" ht="15">
      <c r="A149" s="1">
        <v>11</v>
      </c>
      <c r="B149" s="1"/>
      <c r="C149" s="1">
        <v>20</v>
      </c>
      <c r="D149" s="1"/>
      <c r="E149" s="1">
        <f t="shared" si="8"/>
        <v>0</v>
      </c>
    </row>
    <row r="150" spans="1:5" ht="15">
      <c r="A150" s="1">
        <v>12</v>
      </c>
      <c r="B150" s="1"/>
      <c r="C150" s="1">
        <v>20</v>
      </c>
      <c r="D150" s="1"/>
      <c r="E150" s="1">
        <f t="shared" si="8"/>
        <v>0</v>
      </c>
    </row>
  </sheetData>
  <mergeCells count="9">
    <mergeCell ref="A86:E86"/>
    <mergeCell ref="A103:E103"/>
    <mergeCell ref="A120:E120"/>
    <mergeCell ref="A137:E137"/>
    <mergeCell ref="A1:E1"/>
    <mergeCell ref="A18:E18"/>
    <mergeCell ref="A35:E35"/>
    <mergeCell ref="A52:E52"/>
    <mergeCell ref="A69:E69"/>
  </mergeCells>
  <phoneticPr fontId="7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9" defaultRowHeight="14"/>
  <sheetData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2025</vt:lpstr>
      <vt:lpstr>Sheet1</vt:lpstr>
      <vt:lpstr>空调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zhy</cp:lastModifiedBy>
  <dcterms:created xsi:type="dcterms:W3CDTF">2023-05-12T11:15:00Z</dcterms:created>
  <dcterms:modified xsi:type="dcterms:W3CDTF">2025-10-22T13:36:09Z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4F52FA04EFBF4CCB8F216A6F86BBE9FD_12</vt:lpwstr>
  </property>
</Properties>
</file>